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697c50da9f47790/Desktop/Hospital-Emergency-Room-Dashboard/"/>
    </mc:Choice>
  </mc:AlternateContent>
  <xr:revisionPtr revIDLastSave="0" documentId="8_{F5EF06B1-95F9-4655-8498-78A76F65794C}" xr6:coauthVersionLast="47" xr6:coauthVersionMax="47" xr10:uidLastSave="{00000000-0000-0000-0000-000000000000}"/>
  <bookViews>
    <workbookView xWindow="-120" yWindow="-120" windowWidth="20730" windowHeight="11040" activeTab="1" xr2:uid="{306A97F4-85DC-4528-9F56-1C3B22036127}"/>
  </bookViews>
  <sheets>
    <sheet name="Pivot Report" sheetId="1" r:id="rId1"/>
    <sheet name="Dashboard" sheetId="2" r:id="rId2"/>
    <sheet name="patient satisfaction ER" sheetId="5" r:id="rId3"/>
    <sheet name="Sheet2" sheetId="4" r:id="rId4"/>
    <sheet name="trend emergency" sheetId="3" r:id="rId5"/>
  </sheets>
  <definedNames>
    <definedName name="Slicer_Date__Month">#N/A</definedName>
    <definedName name="Slicer_Date__Year">#N/A</definedName>
  </definedNames>
  <calcPr calcId="191029"/>
  <pivotCaches>
    <pivotCache cacheId="195" r:id="rId6"/>
    <pivotCache cacheId="198" r:id="rId7"/>
    <pivotCache cacheId="201" r:id="rId8"/>
    <pivotCache cacheId="204" r:id="rId9"/>
    <pivotCache cacheId="207" r:id="rId10"/>
    <pivotCache cacheId="210" r:id="rId11"/>
    <pivotCache cacheId="213" r:id="rId12"/>
    <pivotCache cacheId="216" r:id="rId13"/>
    <pivotCache cacheId="219" r:id="rId14"/>
    <pivotCache cacheId="222" r:id="rId15"/>
    <pivotCache cacheId="225" r:id="rId16"/>
    <pivotCache cacheId="22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ed39545-2f64-4c03-8606-2b1028c78c6b" name="Hospital Emergency Room Data" connection="Query - Hospital Emergency Room Data"/>
          <x15:modelTable id="Calender_Table_39ce9320-a1c3-4d3c-86dd-b230ad6d9551"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9" i="1" l="1"/>
  <c r="C49" i="1"/>
  <c r="B48" i="1"/>
  <c r="C48" i="1"/>
  <c r="A49"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25C4A1-C879-427A-9A58-1626F6C7F395}" name="Query - Calender_Table" description="Connection to the 'Calender_Table' query in the workbook." type="100" refreshedVersion="8" minRefreshableVersion="5">
    <extLst>
      <ext xmlns:x15="http://schemas.microsoft.com/office/spreadsheetml/2010/11/main" uri="{DE250136-89BD-433C-8126-D09CA5730AF9}">
        <x15:connection id="3c8e5110-d95d-41df-8cf4-13ffff67c472"/>
      </ext>
    </extLst>
  </connection>
  <connection id="2" xr16:uid="{E126C023-31FF-4B5E-B666-E17AED49EF7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97a22d3-b076-412f-b0ae-efde913ab99c"/>
      </ext>
    </extLst>
  </connection>
  <connection id="3" xr16:uid="{A7D23F7E-736E-4BF5-877E-9F27EE6233C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<sst xmlns="http://schemas.openxmlformats.org/spreadsheetml/2006/main" count="146" uniqueCount="68">
  <si>
    <t>no. of patients</t>
  </si>
  <si>
    <t>Distinct Count of Patient Id</t>
  </si>
  <si>
    <t>Average of Patient Waittime</t>
  </si>
  <si>
    <t>Sum of Patient Satisfaction Score</t>
  </si>
  <si>
    <t>Grand Total</t>
  </si>
  <si>
    <t>Row Labels</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</si>
  <si>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</si>
  <si>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</si>
  <si>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</si>
  <si>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</si>
  <si>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</si>
  <si>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</si>
  <si>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</si>
  <si>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</si>
  <si>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</si>
  <si>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</si>
  <si>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</si>
  <si>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</si>
  <si>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</si>
  <si>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</si>
  <si>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</si>
  <si>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</si>
  <si>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</si>
  <si>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</si>
  <si>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</si>
  <si>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</si>
  <si>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</si>
  <si>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</si>
  <si>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</si>
  <si>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</si>
  <si>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</si>
  <si>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</si>
  <si>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</si>
  <si>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</si>
  <si>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</si>
  <si>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</si>
  <si>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Count of Patient Admission Flag</t>
  </si>
  <si>
    <t>admitted</t>
  </si>
  <si>
    <t>not admitted</t>
  </si>
  <si>
    <t>Count of Patient Admission Flag2</t>
  </si>
  <si>
    <t>Admission Status</t>
  </si>
  <si>
    <t>% Status</t>
  </si>
  <si>
    <t>Patients</t>
  </si>
  <si>
    <t>0-09</t>
  </si>
  <si>
    <t>10-19</t>
  </si>
  <si>
    <t>20-29</t>
  </si>
  <si>
    <t>30-39</t>
  </si>
  <si>
    <t>40-49</t>
  </si>
  <si>
    <t>50-59</t>
  </si>
  <si>
    <t>60-69</t>
  </si>
  <si>
    <t>70-79</t>
  </si>
  <si>
    <t>Count of Age Group</t>
  </si>
  <si>
    <t>Count of Department Referral</t>
  </si>
  <si>
    <t>Cardiology</t>
  </si>
  <si>
    <t>Gastroenterology</t>
  </si>
  <si>
    <t>General Practice</t>
  </si>
  <si>
    <t>Neurology</t>
  </si>
  <si>
    <t>None</t>
  </si>
  <si>
    <t>Orthopedics</t>
  </si>
  <si>
    <t>Physiotherapy</t>
  </si>
  <si>
    <t>Renal</t>
  </si>
  <si>
    <t>Male</t>
  </si>
  <si>
    <t>Delay</t>
  </si>
  <si>
    <t>Female</t>
  </si>
  <si>
    <t>Ontime</t>
  </si>
  <si>
    <t>Count of Patient attend status</t>
  </si>
  <si>
    <t>Count of Patient Gender</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</si>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</sst>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2"/>
      <name val="Calibri"/>
      <family val="2"/>
      <scheme val="minor"/>
    </font>
    <font>
      <b/>
      <sz val="11"/>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4" tint="0.79998168889431442"/>
        <bgColor theme="4" tint="0.79998168889431442"/>
      </patternFill>
    </fill>
    <fill>
      <patternFill patternType="solid">
        <fgColor theme="4"/>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2" fontId="0" fillId="0" borderId="0" xfId="0" applyNumberFormat="1"/>
    <xf numFmtId="0" fontId="1" fillId="2" borderId="0" xfId="0" applyFont="1" applyFill="1"/>
    <xf numFmtId="0" fontId="2" fillId="3" borderId="1" xfId="0" applyFont="1" applyFill="1" applyBorder="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0" fillId="4" borderId="0" xfId="0" applyFill="1"/>
    <xf numFmtId="0" fontId="2" fillId="4" borderId="0" xfId="0" applyFont="1" applyFill="1" applyAlignment="1">
      <alignment horizontal="left"/>
    </xf>
    <xf numFmtId="0" fontId="2" fillId="4" borderId="0" xfId="0" applyFont="1" applyFill="1"/>
    <xf numFmtId="1" fontId="0" fillId="0" borderId="0" xfId="0" applyNumberFormat="1"/>
  </cellXfs>
  <cellStyles count="1">
    <cellStyle name="Normal" xfId="0" builtinId="0"/>
  </cellStyles>
  <dxfs count="22">
    <dxf>
      <numFmt numFmtId="2" formatCode="0.00"/>
    </dxf>
    <dxf>
      <numFmt numFmtId="14" formatCode="0.00%"/>
    </dxf>
    <dxf>
      <numFmt numFmtId="13" formatCode="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13223694735518962"/>
          <c:y val="0.19555555555555557"/>
          <c:w val="0.86776287446827771"/>
          <c:h val="0.60888888888888892"/>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cat>
            <c:strRef>
              <c:f>'Pivot Report'!$A$42:$A$44</c:f>
              <c:strCache>
                <c:ptCount val="2"/>
                <c:pt idx="0">
                  <c:v>admitted</c:v>
                </c:pt>
                <c:pt idx="1">
                  <c:v>not admitted</c:v>
                </c:pt>
              </c:strCache>
            </c:strRef>
          </c:cat>
          <c:val>
            <c:numRef>
              <c:f>'Pivot Report'!$B$42:$B$44</c:f>
              <c:numCache>
                <c:formatCode>0.00</c:formatCode>
                <c:ptCount val="2"/>
                <c:pt idx="0">
                  <c:v>252</c:v>
                </c:pt>
                <c:pt idx="1">
                  <c:v>254</c:v>
                </c:pt>
              </c:numCache>
            </c:numRef>
          </c:val>
          <c:extLst>
            <c:ext xmlns:c16="http://schemas.microsoft.com/office/drawing/2014/chart" uri="{C3380CC4-5D6E-409C-BE32-E72D297353CC}">
              <c16:uniqueId val="{00000000-FF2F-4410-B7E8-2FB5A877BA65}"/>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0.49802371541501977</c:v>
                </c:pt>
                <c:pt idx="1">
                  <c:v>0.50197628458498023</c:v>
                </c:pt>
              </c:numCache>
            </c:numRef>
          </c:val>
          <c:extLst>
            <c:ext xmlns:c16="http://schemas.microsoft.com/office/drawing/2014/chart" uri="{C3380CC4-5D6E-409C-BE32-E72D297353CC}">
              <c16:uniqueId val="{00000001-FF2F-4410-B7E8-2FB5A877BA65}"/>
            </c:ext>
          </c:extLst>
        </c:ser>
        <c:dLbls>
          <c:showLegendKey val="0"/>
          <c:showVal val="0"/>
          <c:showCatName val="0"/>
          <c:showSerName val="0"/>
          <c:showPercent val="0"/>
          <c:showBubbleSize val="0"/>
        </c:dLbls>
        <c:gapWidth val="100"/>
        <c:axId val="2025139487"/>
        <c:axId val="2025149567"/>
      </c:barChart>
      <c:catAx>
        <c:axId val="202513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49567"/>
        <c:crosses val="autoZero"/>
        <c:auto val="1"/>
        <c:lblAlgn val="ctr"/>
        <c:lblOffset val="100"/>
        <c:noMultiLvlLbl val="0"/>
      </c:catAx>
      <c:valAx>
        <c:axId val="2025149567"/>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2513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95106614311741"/>
          <c:y val="9.7960448651323806E-2"/>
          <c:w val="0.50230227471566069"/>
          <c:h val="0.6519313210848644"/>
        </c:manualLayout>
      </c:layout>
      <c:barChart>
        <c:barDir val="bar"/>
        <c:grouping val="clustered"/>
        <c:varyColors val="0"/>
        <c:ser>
          <c:idx val="0"/>
          <c:order val="0"/>
          <c:tx>
            <c:strRef>
              <c:f>'Pivot Report'!$B$52</c:f>
              <c:strCache>
                <c:ptCount val="1"/>
                <c:pt idx="0">
                  <c:v>Total</c:v>
                </c:pt>
              </c:strCache>
            </c:strRef>
          </c:tx>
          <c:spPr>
            <a:solidFill>
              <a:schemeClr val="accent1"/>
            </a:solidFill>
            <a:ln>
              <a:noFill/>
            </a:ln>
            <a:effectLst/>
          </c:spPr>
          <c:invertIfNegative val="0"/>
          <c:cat>
            <c:strRef>
              <c:f>'Pivot Report'!$A$53:$A$61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Report'!$B$53:$B$61</c:f>
              <c:numCache>
                <c:formatCode>0</c:formatCode>
                <c:ptCount val="8"/>
                <c:pt idx="0">
                  <c:v>12</c:v>
                </c:pt>
                <c:pt idx="1">
                  <c:v>11</c:v>
                </c:pt>
                <c:pt idx="2">
                  <c:v>83</c:v>
                </c:pt>
                <c:pt idx="3">
                  <c:v>15</c:v>
                </c:pt>
                <c:pt idx="4">
                  <c:v>305</c:v>
                </c:pt>
                <c:pt idx="5">
                  <c:v>60</c:v>
                </c:pt>
                <c:pt idx="6">
                  <c:v>18</c:v>
                </c:pt>
                <c:pt idx="7">
                  <c:v>2</c:v>
                </c:pt>
              </c:numCache>
            </c:numRef>
          </c:val>
          <c:extLst>
            <c:ext xmlns:c16="http://schemas.microsoft.com/office/drawing/2014/chart" uri="{C3380CC4-5D6E-409C-BE32-E72D297353CC}">
              <c16:uniqueId val="{00000000-5BA0-497C-B9E6-6F106628F08A}"/>
            </c:ext>
          </c:extLst>
        </c:ser>
        <c:dLbls>
          <c:showLegendKey val="0"/>
          <c:showVal val="0"/>
          <c:showCatName val="0"/>
          <c:showSerName val="0"/>
          <c:showPercent val="0"/>
          <c:showBubbleSize val="0"/>
        </c:dLbls>
        <c:gapWidth val="182"/>
        <c:axId val="2025139967"/>
        <c:axId val="2025135167"/>
      </c:barChart>
      <c:catAx>
        <c:axId val="2025139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35167"/>
        <c:crosses val="autoZero"/>
        <c:auto val="1"/>
        <c:lblAlgn val="ctr"/>
        <c:lblOffset val="100"/>
        <c:noMultiLvlLbl val="0"/>
      </c:catAx>
      <c:valAx>
        <c:axId val="2025135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patients by 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3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Report'!$L$42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Report'!$K$43:$K$51</c:f>
              <c:strCache>
                <c:ptCount val="8"/>
                <c:pt idx="0">
                  <c:v>0-09</c:v>
                </c:pt>
                <c:pt idx="1">
                  <c:v>10-19</c:v>
                </c:pt>
                <c:pt idx="2">
                  <c:v>20-29</c:v>
                </c:pt>
                <c:pt idx="3">
                  <c:v>30-39</c:v>
                </c:pt>
                <c:pt idx="4">
                  <c:v>40-49</c:v>
                </c:pt>
                <c:pt idx="5">
                  <c:v>50-59</c:v>
                </c:pt>
                <c:pt idx="6">
                  <c:v>60-69</c:v>
                </c:pt>
                <c:pt idx="7">
                  <c:v>70-79</c:v>
                </c:pt>
              </c:strCache>
            </c:strRef>
          </c:cat>
          <c:val>
            <c:numRef>
              <c:f>'Pivot Report'!$L$43:$L$51</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0-A05C-4A9A-B58B-07B78B35E63D}"/>
            </c:ext>
          </c:extLst>
        </c:ser>
        <c:dLbls>
          <c:dLblPos val="outEnd"/>
          <c:showLegendKey val="0"/>
          <c:showVal val="1"/>
          <c:showCatName val="0"/>
          <c:showSerName val="0"/>
          <c:showPercent val="0"/>
          <c:showBubbleSize val="0"/>
        </c:dLbls>
        <c:gapWidth val="219"/>
        <c:overlap val="-27"/>
        <c:axId val="2025125087"/>
        <c:axId val="2025122687"/>
      </c:barChart>
      <c:catAx>
        <c:axId val="202512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patients by 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22687"/>
        <c:crosses val="autoZero"/>
        <c:auto val="1"/>
        <c:lblAlgn val="ctr"/>
        <c:lblOffset val="100"/>
        <c:noMultiLvlLbl val="0"/>
      </c:catAx>
      <c:valAx>
        <c:axId val="2025122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2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 of patients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493963254593179"/>
          <c:y val="0.21545858850976957"/>
          <c:w val="0.38860258092738409"/>
          <c:h val="0.64767096821230674"/>
        </c:manualLayout>
      </c:layout>
      <c:doughnutChart>
        <c:varyColors val="1"/>
        <c:ser>
          <c:idx val="0"/>
          <c:order val="0"/>
          <c:tx>
            <c:strRef>
              <c:f>'Pivot Report'!$D$67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Report'!$C$68:$C$70</c:f>
              <c:strCache>
                <c:ptCount val="2"/>
                <c:pt idx="0">
                  <c:v>Female</c:v>
                </c:pt>
                <c:pt idx="1">
                  <c:v>Male</c:v>
                </c:pt>
              </c:strCache>
            </c:strRef>
          </c:cat>
          <c:val>
            <c:numRef>
              <c:f>'Pivot Report'!$D$68:$D$70</c:f>
              <c:numCache>
                <c:formatCode>0</c:formatCode>
                <c:ptCount val="2"/>
                <c:pt idx="0">
                  <c:v>233</c:v>
                </c:pt>
                <c:pt idx="1">
                  <c:v>273</c:v>
                </c:pt>
              </c:numCache>
            </c:numRef>
          </c:val>
          <c:extLst>
            <c:ext xmlns:c16="http://schemas.microsoft.com/office/drawing/2014/chart" uri="{C3380CC4-5D6E-409C-BE32-E72D297353CC}">
              <c16:uniqueId val="{00000004-908C-4BF8-8744-C8E3AE3477E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792607174103247"/>
          <c:y val="0.49357575094779821"/>
          <c:w val="0.31540726159230098"/>
          <c:h val="0.1562510936132983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Report'!$L$42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Report'!$K$43:$K$51</c:f>
              <c:strCache>
                <c:ptCount val="8"/>
                <c:pt idx="0">
                  <c:v>0-09</c:v>
                </c:pt>
                <c:pt idx="1">
                  <c:v>10-19</c:v>
                </c:pt>
                <c:pt idx="2">
                  <c:v>20-29</c:v>
                </c:pt>
                <c:pt idx="3">
                  <c:v>30-39</c:v>
                </c:pt>
                <c:pt idx="4">
                  <c:v>40-49</c:v>
                </c:pt>
                <c:pt idx="5">
                  <c:v>50-59</c:v>
                </c:pt>
                <c:pt idx="6">
                  <c:v>60-69</c:v>
                </c:pt>
                <c:pt idx="7">
                  <c:v>70-79</c:v>
                </c:pt>
              </c:strCache>
            </c:strRef>
          </c:cat>
          <c:val>
            <c:numRef>
              <c:f>'Pivot Report'!$L$43:$L$51</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0-5051-4D69-A05B-A59ABB6D9E64}"/>
            </c:ext>
          </c:extLst>
        </c:ser>
        <c:dLbls>
          <c:dLblPos val="outEnd"/>
          <c:showLegendKey val="0"/>
          <c:showVal val="1"/>
          <c:showCatName val="0"/>
          <c:showSerName val="0"/>
          <c:showPercent val="0"/>
          <c:showBubbleSize val="0"/>
        </c:dLbls>
        <c:gapWidth val="219"/>
        <c:overlap val="-27"/>
        <c:axId val="2025125087"/>
        <c:axId val="2025122687"/>
      </c:barChart>
      <c:catAx>
        <c:axId val="202512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patients by 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22687"/>
        <c:crosses val="autoZero"/>
        <c:auto val="1"/>
        <c:lblAlgn val="ctr"/>
        <c:lblOffset val="100"/>
        <c:noMultiLvlLbl val="0"/>
      </c:catAx>
      <c:valAx>
        <c:axId val="2025122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2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711181102362206"/>
          <c:w val="0.99851947078043823"/>
          <c:h val="0.8342698162729657"/>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Report'!$E$6:$E$36</c:f>
              <c:numCache>
                <c:formatCode>0.00</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0-9918-45DD-86F4-81AACC101A8E}"/>
            </c:ext>
          </c:extLst>
        </c:ser>
        <c:dLbls>
          <c:showLegendKey val="0"/>
          <c:showVal val="0"/>
          <c:showCatName val="0"/>
          <c:showSerName val="0"/>
          <c:showPercent val="0"/>
          <c:showBubbleSize val="0"/>
        </c:dLbls>
        <c:axId val="2025122207"/>
        <c:axId val="2025121727"/>
      </c:areaChart>
      <c:catAx>
        <c:axId val="2025122207"/>
        <c:scaling>
          <c:orientation val="minMax"/>
        </c:scaling>
        <c:delete val="1"/>
        <c:axPos val="b"/>
        <c:numFmt formatCode="General" sourceLinked="1"/>
        <c:majorTickMark val="out"/>
        <c:minorTickMark val="none"/>
        <c:tickLblPos val="nextTo"/>
        <c:crossAx val="2025121727"/>
        <c:crosses val="autoZero"/>
        <c:auto val="1"/>
        <c:lblAlgn val="ctr"/>
        <c:lblOffset val="100"/>
        <c:noMultiLvlLbl val="0"/>
      </c:catAx>
      <c:valAx>
        <c:axId val="2025121727"/>
        <c:scaling>
          <c:orientation val="minMax"/>
        </c:scaling>
        <c:delete val="1"/>
        <c:axPos val="l"/>
        <c:numFmt formatCode="0.00" sourceLinked="1"/>
        <c:majorTickMark val="none"/>
        <c:minorTickMark val="none"/>
        <c:tickLblPos val="nextTo"/>
        <c:crossAx val="2025122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16925734024179E-2"/>
          <c:y val="0.35193871093487988"/>
          <c:w val="0.98618307426597585"/>
          <c:h val="0.48704625940143809"/>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Report'!$M$6:$M$36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0-D337-4738-9A6F-54FDAAD43E87}"/>
            </c:ext>
          </c:extLst>
        </c:ser>
        <c:dLbls>
          <c:showLegendKey val="0"/>
          <c:showVal val="0"/>
          <c:showCatName val="0"/>
          <c:showSerName val="0"/>
          <c:showPercent val="0"/>
          <c:showBubbleSize val="0"/>
        </c:dLbls>
        <c:axId val="1262565471"/>
        <c:axId val="1262565951"/>
      </c:areaChart>
      <c:catAx>
        <c:axId val="1262565471"/>
        <c:scaling>
          <c:orientation val="minMax"/>
        </c:scaling>
        <c:delete val="1"/>
        <c:axPos val="b"/>
        <c:numFmt formatCode="General" sourceLinked="1"/>
        <c:majorTickMark val="out"/>
        <c:minorTickMark val="none"/>
        <c:tickLblPos val="nextTo"/>
        <c:crossAx val="1262565951"/>
        <c:crosses val="autoZero"/>
        <c:auto val="1"/>
        <c:lblAlgn val="ctr"/>
        <c:lblOffset val="100"/>
        <c:noMultiLvlLbl val="0"/>
      </c:catAx>
      <c:valAx>
        <c:axId val="1262565951"/>
        <c:scaling>
          <c:orientation val="minMax"/>
        </c:scaling>
        <c:delete val="1"/>
        <c:axPos val="l"/>
        <c:numFmt formatCode="0.00" sourceLinked="1"/>
        <c:majorTickMark val="none"/>
        <c:minorTickMark val="none"/>
        <c:tickLblPos val="nextTo"/>
        <c:crossAx val="1262565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72758037225041E-2"/>
          <c:y val="0.46473049290706608"/>
          <c:w val="0.95262267343485618"/>
          <c:h val="0.41355437799822609"/>
        </c:manualLayout>
      </c:layout>
      <c:areaChart>
        <c:grouping val="standard"/>
        <c:varyColors val="0"/>
        <c:ser>
          <c:idx val="0"/>
          <c:order val="0"/>
          <c:tx>
            <c:strRef>
              <c:f>'Pivot Report'!$R$5</c:f>
              <c:strCache>
                <c:ptCount val="1"/>
                <c:pt idx="0">
                  <c:v>Total</c:v>
                </c:pt>
              </c:strCache>
            </c:strRef>
          </c:tx>
          <c:spPr>
            <a:solidFill>
              <a:schemeClr val="accent1"/>
            </a:solidFill>
            <a:ln w="25400">
              <a:noFill/>
            </a:ln>
            <a:effectLst/>
          </c:spPr>
          <c:cat>
            <c:strRef>
              <c:f>'Pivot Report'!$Q$6:$Q$36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Report'!$R$6:$R$36</c:f>
              <c:numCache>
                <c:formatCode>0.00</c:formatCode>
                <c:ptCount val="30"/>
                <c:pt idx="0">
                  <c:v>24</c:v>
                </c:pt>
                <c:pt idx="1">
                  <c:v>32</c:v>
                </c:pt>
                <c:pt idx="2">
                  <c:v>20</c:v>
                </c:pt>
                <c:pt idx="3">
                  <c:v>41</c:v>
                </c:pt>
                <c:pt idx="4">
                  <c:v>26</c:v>
                </c:pt>
                <c:pt idx="5">
                  <c:v>22</c:v>
                </c:pt>
                <c:pt idx="6">
                  <c:v>21</c:v>
                </c:pt>
                <c:pt idx="7">
                  <c:v>19</c:v>
                </c:pt>
                <c:pt idx="8">
                  <c:v>40</c:v>
                </c:pt>
                <c:pt idx="9">
                  <c:v>15</c:v>
                </c:pt>
                <c:pt idx="10">
                  <c:v>37</c:v>
                </c:pt>
                <c:pt idx="11">
                  <c:v>9</c:v>
                </c:pt>
                <c:pt idx="12">
                  <c:v>18</c:v>
                </c:pt>
                <c:pt idx="13">
                  <c:v>28</c:v>
                </c:pt>
                <c:pt idx="14">
                  <c:v>9</c:v>
                </c:pt>
                <c:pt idx="15">
                  <c:v>3</c:v>
                </c:pt>
                <c:pt idx="16">
                  <c:v>34</c:v>
                </c:pt>
                <c:pt idx="17">
                  <c:v>37</c:v>
                </c:pt>
                <c:pt idx="18">
                  <c:v>13</c:v>
                </c:pt>
                <c:pt idx="19">
                  <c:v>4</c:v>
                </c:pt>
                <c:pt idx="20">
                  <c:v>15</c:v>
                </c:pt>
                <c:pt idx="21">
                  <c:v>19</c:v>
                </c:pt>
                <c:pt idx="22">
                  <c:v>15</c:v>
                </c:pt>
                <c:pt idx="23">
                  <c:v>21</c:v>
                </c:pt>
                <c:pt idx="24">
                  <c:v>37</c:v>
                </c:pt>
                <c:pt idx="25">
                  <c:v>29</c:v>
                </c:pt>
                <c:pt idx="26">
                  <c:v>49</c:v>
                </c:pt>
                <c:pt idx="27">
                  <c:v>50</c:v>
                </c:pt>
                <c:pt idx="28">
                  <c:v>38</c:v>
                </c:pt>
                <c:pt idx="29">
                  <c:v>16</c:v>
                </c:pt>
              </c:numCache>
            </c:numRef>
          </c:val>
          <c:extLst>
            <c:ext xmlns:c16="http://schemas.microsoft.com/office/drawing/2014/chart" uri="{C3380CC4-5D6E-409C-BE32-E72D297353CC}">
              <c16:uniqueId val="{00000000-5C34-4633-B338-44CF542C7BF6}"/>
            </c:ext>
          </c:extLst>
        </c:ser>
        <c:dLbls>
          <c:showLegendKey val="0"/>
          <c:showVal val="0"/>
          <c:showCatName val="0"/>
          <c:showSerName val="0"/>
          <c:showPercent val="0"/>
          <c:showBubbleSize val="0"/>
        </c:dLbls>
        <c:axId val="1262526111"/>
        <c:axId val="1262516511"/>
      </c:areaChart>
      <c:catAx>
        <c:axId val="1262526111"/>
        <c:scaling>
          <c:orientation val="minMax"/>
        </c:scaling>
        <c:delete val="1"/>
        <c:axPos val="b"/>
        <c:numFmt formatCode="General" sourceLinked="1"/>
        <c:majorTickMark val="out"/>
        <c:minorTickMark val="none"/>
        <c:tickLblPos val="nextTo"/>
        <c:crossAx val="1262516511"/>
        <c:crosses val="autoZero"/>
        <c:auto val="1"/>
        <c:lblAlgn val="ctr"/>
        <c:lblOffset val="100"/>
        <c:noMultiLvlLbl val="0"/>
      </c:catAx>
      <c:valAx>
        <c:axId val="1262516511"/>
        <c:scaling>
          <c:orientation val="minMax"/>
        </c:scaling>
        <c:delete val="1"/>
        <c:axPos val="l"/>
        <c:numFmt formatCode="0.00" sourceLinked="1"/>
        <c:majorTickMark val="none"/>
        <c:minorTickMark val="none"/>
        <c:tickLblPos val="nextTo"/>
        <c:crossAx val="1262526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patients within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Report'!$L$58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Report'!$K$59:$K$61</c:f>
              <c:strCache>
                <c:ptCount val="2"/>
                <c:pt idx="0">
                  <c:v>Delay</c:v>
                </c:pt>
                <c:pt idx="1">
                  <c:v>Ontime</c:v>
                </c:pt>
              </c:strCache>
            </c:strRef>
          </c:cat>
          <c:val>
            <c:numRef>
              <c:f>'Pivot Report'!$L$59:$L$61</c:f>
              <c:numCache>
                <c:formatCode>0</c:formatCode>
                <c:ptCount val="2"/>
                <c:pt idx="0">
                  <c:v>311</c:v>
                </c:pt>
                <c:pt idx="1">
                  <c:v>195</c:v>
                </c:pt>
              </c:numCache>
            </c:numRef>
          </c:val>
          <c:extLst>
            <c:ext xmlns:c16="http://schemas.microsoft.com/office/drawing/2014/chart" uri="{C3380CC4-5D6E-409C-BE32-E72D297353CC}">
              <c16:uniqueId val="{00000004-C029-4C1B-86D1-A840252CD5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821238605936816"/>
          <c:y val="0.47985474960749014"/>
          <c:w val="0.18048415522120173"/>
          <c:h val="0.22277383643876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Report!PivotTable14</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No. of patients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493963254593179"/>
          <c:y val="0.21545858850976957"/>
          <c:w val="0.38860258092738409"/>
          <c:h val="0.64767096821230674"/>
        </c:manualLayout>
      </c:layout>
      <c:doughnutChart>
        <c:varyColors val="1"/>
        <c:ser>
          <c:idx val="0"/>
          <c:order val="0"/>
          <c:tx>
            <c:strRef>
              <c:f>'Pivot Report'!$D$67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Report'!$C$68:$C$70</c:f>
              <c:strCache>
                <c:ptCount val="2"/>
                <c:pt idx="0">
                  <c:v>Female</c:v>
                </c:pt>
                <c:pt idx="1">
                  <c:v>Male</c:v>
                </c:pt>
              </c:strCache>
            </c:strRef>
          </c:cat>
          <c:val>
            <c:numRef>
              <c:f>'Pivot Report'!$D$68:$D$70</c:f>
              <c:numCache>
                <c:formatCode>0</c:formatCode>
                <c:ptCount val="2"/>
                <c:pt idx="0">
                  <c:v>233</c:v>
                </c:pt>
                <c:pt idx="1">
                  <c:v>273</c:v>
                </c:pt>
              </c:numCache>
            </c:numRef>
          </c:val>
          <c:extLst>
            <c:ext xmlns:c16="http://schemas.microsoft.com/office/drawing/2014/chart" uri="{C3380CC4-5D6E-409C-BE32-E72D297353CC}">
              <c16:uniqueId val="{00000004-D366-44C5-A657-55A39747F93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792607174103247"/>
          <c:y val="0.49357575094779821"/>
          <c:w val="0.17723493661137266"/>
          <c:h val="0.2205897792187741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15523367775405"/>
          <c:y val="0.16366204224471942"/>
          <c:w val="0.50230227471566069"/>
          <c:h val="0.6519313210848644"/>
        </c:manualLayout>
      </c:layout>
      <c:barChart>
        <c:barDir val="bar"/>
        <c:grouping val="clustered"/>
        <c:varyColors val="0"/>
        <c:ser>
          <c:idx val="0"/>
          <c:order val="0"/>
          <c:tx>
            <c:strRef>
              <c:f>'Pivot Report'!$B$52</c:f>
              <c:strCache>
                <c:ptCount val="1"/>
                <c:pt idx="0">
                  <c:v>Total</c:v>
                </c:pt>
              </c:strCache>
            </c:strRef>
          </c:tx>
          <c:spPr>
            <a:solidFill>
              <a:schemeClr val="accent1"/>
            </a:solidFill>
            <a:ln>
              <a:noFill/>
            </a:ln>
            <a:effectLst/>
          </c:spPr>
          <c:invertIfNegative val="0"/>
          <c:cat>
            <c:strRef>
              <c:f>'Pivot Report'!$A$53:$A$61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Report'!$B$53:$B$61</c:f>
              <c:numCache>
                <c:formatCode>0</c:formatCode>
                <c:ptCount val="8"/>
                <c:pt idx="0">
                  <c:v>12</c:v>
                </c:pt>
                <c:pt idx="1">
                  <c:v>11</c:v>
                </c:pt>
                <c:pt idx="2">
                  <c:v>83</c:v>
                </c:pt>
                <c:pt idx="3">
                  <c:v>15</c:v>
                </c:pt>
                <c:pt idx="4">
                  <c:v>305</c:v>
                </c:pt>
                <c:pt idx="5">
                  <c:v>60</c:v>
                </c:pt>
                <c:pt idx="6">
                  <c:v>18</c:v>
                </c:pt>
                <c:pt idx="7">
                  <c:v>2</c:v>
                </c:pt>
              </c:numCache>
            </c:numRef>
          </c:val>
          <c:extLst>
            <c:ext xmlns:c16="http://schemas.microsoft.com/office/drawing/2014/chart" uri="{C3380CC4-5D6E-409C-BE32-E72D297353CC}">
              <c16:uniqueId val="{00000000-6BE0-47AC-A299-40DE6C979A2A}"/>
            </c:ext>
          </c:extLst>
        </c:ser>
        <c:dLbls>
          <c:showLegendKey val="0"/>
          <c:showVal val="0"/>
          <c:showCatName val="0"/>
          <c:showSerName val="0"/>
          <c:showPercent val="0"/>
          <c:showBubbleSize val="0"/>
        </c:dLbls>
        <c:gapWidth val="182"/>
        <c:axId val="2025139967"/>
        <c:axId val="2025135167"/>
      </c:barChart>
      <c:catAx>
        <c:axId val="2025139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35167"/>
        <c:crosses val="autoZero"/>
        <c:auto val="1"/>
        <c:lblAlgn val="ctr"/>
        <c:lblOffset val="100"/>
        <c:noMultiLvlLbl val="0"/>
      </c:catAx>
      <c:valAx>
        <c:axId val="2025135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No.</a:t>
                </a:r>
                <a:r>
                  <a:rPr lang="en-IN" sz="1200" b="1" baseline="0"/>
                  <a:t> of patients by 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3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Report'!$L$42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Report'!$K$43:$K$51</c:f>
              <c:strCache>
                <c:ptCount val="8"/>
                <c:pt idx="0">
                  <c:v>0-09</c:v>
                </c:pt>
                <c:pt idx="1">
                  <c:v>10-19</c:v>
                </c:pt>
                <c:pt idx="2">
                  <c:v>20-29</c:v>
                </c:pt>
                <c:pt idx="3">
                  <c:v>30-39</c:v>
                </c:pt>
                <c:pt idx="4">
                  <c:v>40-49</c:v>
                </c:pt>
                <c:pt idx="5">
                  <c:v>50-59</c:v>
                </c:pt>
                <c:pt idx="6">
                  <c:v>60-69</c:v>
                </c:pt>
                <c:pt idx="7">
                  <c:v>70-79</c:v>
                </c:pt>
              </c:strCache>
            </c:strRef>
          </c:cat>
          <c:val>
            <c:numRef>
              <c:f>'Pivot Report'!$L$43:$L$51</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0-6016-488F-9D10-AB1443613A8C}"/>
            </c:ext>
          </c:extLst>
        </c:ser>
        <c:dLbls>
          <c:dLblPos val="outEnd"/>
          <c:showLegendKey val="0"/>
          <c:showVal val="1"/>
          <c:showCatName val="0"/>
          <c:showSerName val="0"/>
          <c:showPercent val="0"/>
          <c:showBubbleSize val="0"/>
        </c:dLbls>
        <c:gapWidth val="219"/>
        <c:overlap val="-27"/>
        <c:axId val="2025125087"/>
        <c:axId val="2025122687"/>
      </c:barChart>
      <c:catAx>
        <c:axId val="202512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No.</a:t>
                </a:r>
                <a:r>
                  <a:rPr lang="en-IN" sz="1200" b="1" baseline="0"/>
                  <a:t> of patients by 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22687"/>
        <c:crosses val="autoZero"/>
        <c:auto val="1"/>
        <c:lblAlgn val="ctr"/>
        <c:lblOffset val="100"/>
        <c:noMultiLvlLbl val="0"/>
      </c:catAx>
      <c:valAx>
        <c:axId val="2025122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2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Report!PivotTable8</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Report'!$R$5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Report'!$Q$6:$Q$36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Report'!$R$6:$R$36</c:f>
              <c:numCache>
                <c:formatCode>0.00</c:formatCode>
                <c:ptCount val="30"/>
                <c:pt idx="0">
                  <c:v>24</c:v>
                </c:pt>
                <c:pt idx="1">
                  <c:v>32</c:v>
                </c:pt>
                <c:pt idx="2">
                  <c:v>20</c:v>
                </c:pt>
                <c:pt idx="3">
                  <c:v>41</c:v>
                </c:pt>
                <c:pt idx="4">
                  <c:v>26</c:v>
                </c:pt>
                <c:pt idx="5">
                  <c:v>22</c:v>
                </c:pt>
                <c:pt idx="6">
                  <c:v>21</c:v>
                </c:pt>
                <c:pt idx="7">
                  <c:v>19</c:v>
                </c:pt>
                <c:pt idx="8">
                  <c:v>40</c:v>
                </c:pt>
                <c:pt idx="9">
                  <c:v>15</c:v>
                </c:pt>
                <c:pt idx="10">
                  <c:v>37</c:v>
                </c:pt>
                <c:pt idx="11">
                  <c:v>9</c:v>
                </c:pt>
                <c:pt idx="12">
                  <c:v>18</c:v>
                </c:pt>
                <c:pt idx="13">
                  <c:v>28</c:v>
                </c:pt>
                <c:pt idx="14">
                  <c:v>9</c:v>
                </c:pt>
                <c:pt idx="15">
                  <c:v>3</c:v>
                </c:pt>
                <c:pt idx="16">
                  <c:v>34</c:v>
                </c:pt>
                <c:pt idx="17">
                  <c:v>37</c:v>
                </c:pt>
                <c:pt idx="18">
                  <c:v>13</c:v>
                </c:pt>
                <c:pt idx="19">
                  <c:v>4</c:v>
                </c:pt>
                <c:pt idx="20">
                  <c:v>15</c:v>
                </c:pt>
                <c:pt idx="21">
                  <c:v>19</c:v>
                </c:pt>
                <c:pt idx="22">
                  <c:v>15</c:v>
                </c:pt>
                <c:pt idx="23">
                  <c:v>21</c:v>
                </c:pt>
                <c:pt idx="24">
                  <c:v>37</c:v>
                </c:pt>
                <c:pt idx="25">
                  <c:v>29</c:v>
                </c:pt>
                <c:pt idx="26">
                  <c:v>49</c:v>
                </c:pt>
                <c:pt idx="27">
                  <c:v>50</c:v>
                </c:pt>
                <c:pt idx="28">
                  <c:v>38</c:v>
                </c:pt>
                <c:pt idx="29">
                  <c:v>16</c:v>
                </c:pt>
              </c:numCache>
            </c:numRef>
          </c:val>
          <c:extLst>
            <c:ext xmlns:c16="http://schemas.microsoft.com/office/drawing/2014/chart" uri="{C3380CC4-5D6E-409C-BE32-E72D297353CC}">
              <c16:uniqueId val="{00000000-0C9E-4BE9-961B-7B6A298117A0}"/>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262526111"/>
        <c:axId val="1262516511"/>
      </c:areaChart>
      <c:catAx>
        <c:axId val="126252611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62516511"/>
        <c:crosses val="autoZero"/>
        <c:auto val="1"/>
        <c:lblAlgn val="ctr"/>
        <c:lblOffset val="100"/>
        <c:noMultiLvlLbl val="0"/>
      </c:catAx>
      <c:valAx>
        <c:axId val="12625165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252611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Report!PivotTable7</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Report'!$L$6:$L$36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Report'!$M$6:$M$36</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0-8B03-42E2-9EC3-4E27EA04D5B9}"/>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262565471"/>
        <c:axId val="1262565951"/>
      </c:areaChart>
      <c:catAx>
        <c:axId val="126256547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62565951"/>
        <c:crosses val="autoZero"/>
        <c:auto val="1"/>
        <c:lblAlgn val="ctr"/>
        <c:lblOffset val="100"/>
        <c:noMultiLvlLbl val="0"/>
      </c:catAx>
      <c:valAx>
        <c:axId val="126256595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256547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711181102362206"/>
          <c:w val="0.99851947078043823"/>
          <c:h val="0.8342698162729657"/>
        </c:manualLayout>
      </c:layout>
      <c:areaChart>
        <c:grouping val="standard"/>
        <c:varyColors val="0"/>
        <c:ser>
          <c:idx val="0"/>
          <c:order val="0"/>
          <c:tx>
            <c:strRef>
              <c:f>'Pivot Report'!$E$5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Report'!$D$6:$D$36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Report'!$E$6:$E$36</c:f>
              <c:numCache>
                <c:formatCode>0.00</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0-1DD5-4935-839D-30080F6BA515}"/>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025122207"/>
        <c:axId val="2025121727"/>
      </c:areaChart>
      <c:catAx>
        <c:axId val="20251222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25121727"/>
        <c:crosses val="autoZero"/>
        <c:auto val="1"/>
        <c:lblAlgn val="ctr"/>
        <c:lblOffset val="100"/>
        <c:noMultiLvlLbl val="0"/>
      </c:catAx>
      <c:valAx>
        <c:axId val="202512172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512220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6.xml"/><Relationship Id="rId7" Type="http://schemas.openxmlformats.org/officeDocument/2006/relationships/chart" Target="../charts/chart8.xml"/><Relationship Id="rId12" Type="http://schemas.openxmlformats.org/officeDocument/2006/relationships/chart" Target="../charts/chart12.xml"/><Relationship Id="rId2" Type="http://schemas.openxmlformats.org/officeDocument/2006/relationships/hyperlink" Target="#'trend emergency'!A1"/><Relationship Id="rId1" Type="http://schemas.openxmlformats.org/officeDocument/2006/relationships/image" Target="../media/image1.png"/><Relationship Id="rId6" Type="http://schemas.openxmlformats.org/officeDocument/2006/relationships/hyperlink" Target="#'patient satisfaction ER'!A1"/><Relationship Id="rId11" Type="http://schemas.openxmlformats.org/officeDocument/2006/relationships/chart" Target="../charts/chart11.xml"/><Relationship Id="rId5" Type="http://schemas.openxmlformats.org/officeDocument/2006/relationships/chart" Target="../charts/chart7.xml"/><Relationship Id="rId10" Type="http://schemas.openxmlformats.org/officeDocument/2006/relationships/chart" Target="../charts/chart10.xml"/><Relationship Id="rId4" Type="http://schemas.openxmlformats.org/officeDocument/2006/relationships/hyperlink" Target="#Sheet2!A1"/><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38100</xdr:colOff>
      <xdr:row>46</xdr:row>
      <xdr:rowOff>47625</xdr:rowOff>
    </xdr:from>
    <xdr:to>
      <xdr:col>3</xdr:col>
      <xdr:colOff>1419225</xdr:colOff>
      <xdr:row>49</xdr:row>
      <xdr:rowOff>95250</xdr:rowOff>
    </xdr:to>
    <xdr:graphicFrame macro="">
      <xdr:nvGraphicFramePr>
        <xdr:cNvPr id="6" name="Chart 5">
          <a:extLst>
            <a:ext uri="{FF2B5EF4-FFF2-40B4-BE49-F238E27FC236}">
              <a16:creationId xmlns:a16="http://schemas.microsoft.com/office/drawing/2014/main" id="{FE685A0A-A80E-5907-6EEC-E1179891B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228599</xdr:colOff>
      <xdr:row>51</xdr:row>
      <xdr:rowOff>76199</xdr:rowOff>
    </xdr:from>
    <xdr:to>
      <xdr:col>7</xdr:col>
      <xdr:colOff>571499</xdr:colOff>
      <xdr:row>63</xdr:row>
      <xdr:rowOff>71436</xdr:rowOff>
    </xdr:to>
    <xdr:graphicFrame macro="">
      <xdr:nvGraphicFramePr>
        <xdr:cNvPr id="8" name="Chart 7">
          <a:extLst>
            <a:ext uri="{FF2B5EF4-FFF2-40B4-BE49-F238E27FC236}">
              <a16:creationId xmlns:a16="http://schemas.microsoft.com/office/drawing/2014/main" id="{2EAE37A1-AC45-3E67-5FA7-DF1A9CD63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447675</xdr:colOff>
      <xdr:row>40</xdr:row>
      <xdr:rowOff>42862</xdr:rowOff>
    </xdr:from>
    <xdr:to>
      <xdr:col>18</xdr:col>
      <xdr:colOff>57150</xdr:colOff>
      <xdr:row>54</xdr:row>
      <xdr:rowOff>119062</xdr:rowOff>
    </xdr:to>
    <xdr:graphicFrame macro="">
      <xdr:nvGraphicFramePr>
        <xdr:cNvPr id="9" name="Chart 8">
          <a:extLst>
            <a:ext uri="{FF2B5EF4-FFF2-40B4-BE49-F238E27FC236}">
              <a16:creationId xmlns:a16="http://schemas.microsoft.com/office/drawing/2014/main" id="{D814DC58-BCE3-6DD4-6F2F-E771C2813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542925</xdr:colOff>
      <xdr:row>65</xdr:row>
      <xdr:rowOff>42862</xdr:rowOff>
    </xdr:from>
    <xdr:to>
      <xdr:col>5</xdr:col>
      <xdr:colOff>238125</xdr:colOff>
      <xdr:row>79</xdr:row>
      <xdr:rowOff>119062</xdr:rowOff>
    </xdr:to>
    <xdr:graphicFrame macro="">
      <xdr:nvGraphicFramePr>
        <xdr:cNvPr id="11" name="Chart 10">
          <a:extLst>
            <a:ext uri="{FF2B5EF4-FFF2-40B4-BE49-F238E27FC236}">
              <a16:creationId xmlns:a16="http://schemas.microsoft.com/office/drawing/2014/main" id="{36DB8E30-E9B2-4D21-D08A-85B4DB91B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62</xdr:row>
      <xdr:rowOff>0</xdr:rowOff>
    </xdr:from>
    <xdr:to>
      <xdr:col>9</xdr:col>
      <xdr:colOff>504826</xdr:colOff>
      <xdr:row>74</xdr:row>
      <xdr:rowOff>123824</xdr:rowOff>
    </xdr:to>
    <xdr:graphicFrame macro="">
      <xdr:nvGraphicFramePr>
        <xdr:cNvPr id="13" name="Chart 12">
          <a:extLst>
            <a:ext uri="{FF2B5EF4-FFF2-40B4-BE49-F238E27FC236}">
              <a16:creationId xmlns:a16="http://schemas.microsoft.com/office/drawing/2014/main" id="{3A45608C-0126-4285-9845-FB6C7CEC9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657225</xdr:colOff>
      <xdr:row>26</xdr:row>
      <xdr:rowOff>57151</xdr:rowOff>
    </xdr:from>
    <xdr:to>
      <xdr:col>3</xdr:col>
      <xdr:colOff>428625</xdr:colOff>
      <xdr:row>30</xdr:row>
      <xdr:rowOff>28575</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16FD1D9F-582F-B990-8C0C-70DE0E21C64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76625" y="5010151"/>
              <a:ext cx="1828800"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323851</xdr:colOff>
      <xdr:row>1</xdr:row>
      <xdr:rowOff>95249</xdr:rowOff>
    </xdr:from>
    <xdr:to>
      <xdr:col>14</xdr:col>
      <xdr:colOff>571500</xdr:colOff>
      <xdr:row>5</xdr:row>
      <xdr:rowOff>133350</xdr:rowOff>
    </xdr:to>
    <xdr:sp macro="" textlink="">
      <xdr:nvSpPr>
        <xdr:cNvPr id="2" name="Rectangle: Rounded Corners 1">
          <a:extLst>
            <a:ext uri="{FF2B5EF4-FFF2-40B4-BE49-F238E27FC236}">
              <a16:creationId xmlns:a16="http://schemas.microsoft.com/office/drawing/2014/main" id="{C99778C0-DDCA-3E8B-B408-37A04CDED4C8}"/>
            </a:ext>
          </a:extLst>
        </xdr:cNvPr>
        <xdr:cNvSpPr/>
      </xdr:nvSpPr>
      <xdr:spPr>
        <a:xfrm>
          <a:off x="13125451" y="95249"/>
          <a:ext cx="6953249" cy="800101"/>
        </a:xfrm>
        <a:prstGeom prst="roundRect">
          <a:avLst>
            <a:gd name="adj" fmla="val 5000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600076</xdr:colOff>
      <xdr:row>1</xdr:row>
      <xdr:rowOff>171451</xdr:rowOff>
    </xdr:from>
    <xdr:to>
      <xdr:col>2</xdr:col>
      <xdr:colOff>447675</xdr:colOff>
      <xdr:row>6</xdr:row>
      <xdr:rowOff>152401</xdr:rowOff>
    </xdr:to>
    <xdr:sp macro="" textlink="">
      <xdr:nvSpPr>
        <xdr:cNvPr id="3" name="Rectangle 2">
          <a:extLst>
            <a:ext uri="{FF2B5EF4-FFF2-40B4-BE49-F238E27FC236}">
              <a16:creationId xmlns:a16="http://schemas.microsoft.com/office/drawing/2014/main" id="{EA319261-BA87-9B57-6CD9-215CA39565DD}"/>
            </a:ext>
          </a:extLst>
        </xdr:cNvPr>
        <xdr:cNvSpPr/>
      </xdr:nvSpPr>
      <xdr:spPr>
        <a:xfrm>
          <a:off x="11572876" y="171451"/>
          <a:ext cx="1066799" cy="93345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600076</xdr:colOff>
      <xdr:row>7</xdr:row>
      <xdr:rowOff>180975</xdr:rowOff>
    </xdr:from>
    <xdr:to>
      <xdr:col>2</xdr:col>
      <xdr:colOff>495300</xdr:colOff>
      <xdr:row>21</xdr:row>
      <xdr:rowOff>104774</xdr:rowOff>
    </xdr:to>
    <xdr:sp macro="" textlink="">
      <xdr:nvSpPr>
        <xdr:cNvPr id="4" name="Rectangle 3">
          <a:extLst>
            <a:ext uri="{FF2B5EF4-FFF2-40B4-BE49-F238E27FC236}">
              <a16:creationId xmlns:a16="http://schemas.microsoft.com/office/drawing/2014/main" id="{8520F7BB-7B08-DC4C-D4BC-1B91E3378422}"/>
            </a:ext>
          </a:extLst>
        </xdr:cNvPr>
        <xdr:cNvSpPr/>
      </xdr:nvSpPr>
      <xdr:spPr>
        <a:xfrm>
          <a:off x="11572876" y="1323975"/>
          <a:ext cx="1114424" cy="2590799"/>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15</xdr:col>
      <xdr:colOff>190500</xdr:colOff>
      <xdr:row>2</xdr:row>
      <xdr:rowOff>47625</xdr:rowOff>
    </xdr:from>
    <xdr:to>
      <xdr:col>20</xdr:col>
      <xdr:colOff>180975</xdr:colOff>
      <xdr:row>12</xdr:row>
      <xdr:rowOff>76200</xdr:rowOff>
    </xdr:to>
    <xdr:sp macro="" textlink="">
      <xdr:nvSpPr>
        <xdr:cNvPr id="5" name="Rectangle 4">
          <a:extLst>
            <a:ext uri="{FF2B5EF4-FFF2-40B4-BE49-F238E27FC236}">
              <a16:creationId xmlns:a16="http://schemas.microsoft.com/office/drawing/2014/main" id="{208F84A2-F163-667F-3A2C-7C5E67339778}"/>
            </a:ext>
          </a:extLst>
        </xdr:cNvPr>
        <xdr:cNvSpPr/>
      </xdr:nvSpPr>
      <xdr:spPr>
        <a:xfrm>
          <a:off x="20307300" y="238125"/>
          <a:ext cx="3038475" cy="1933575"/>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209550</xdr:colOff>
      <xdr:row>13</xdr:row>
      <xdr:rowOff>28575</xdr:rowOff>
    </xdr:from>
    <xdr:to>
      <xdr:col>20</xdr:col>
      <xdr:colOff>180975</xdr:colOff>
      <xdr:row>23</xdr:row>
      <xdr:rowOff>57150</xdr:rowOff>
    </xdr:to>
    <xdr:sp macro="" textlink="">
      <xdr:nvSpPr>
        <xdr:cNvPr id="6" name="Rectangle 5">
          <a:extLst>
            <a:ext uri="{FF2B5EF4-FFF2-40B4-BE49-F238E27FC236}">
              <a16:creationId xmlns:a16="http://schemas.microsoft.com/office/drawing/2014/main" id="{6A33723E-4D4A-D76E-7253-69B48769B56E}"/>
            </a:ext>
          </a:extLst>
        </xdr:cNvPr>
        <xdr:cNvSpPr/>
      </xdr:nvSpPr>
      <xdr:spPr>
        <a:xfrm>
          <a:off x="20326350" y="2314575"/>
          <a:ext cx="3019425" cy="1933575"/>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38832</xdr:colOff>
      <xdr:row>24</xdr:row>
      <xdr:rowOff>8793</xdr:rowOff>
    </xdr:from>
    <xdr:to>
      <xdr:col>20</xdr:col>
      <xdr:colOff>235194</xdr:colOff>
      <xdr:row>36</xdr:row>
      <xdr:rowOff>142143</xdr:rowOff>
    </xdr:to>
    <xdr:sp macro="" textlink="">
      <xdr:nvSpPr>
        <xdr:cNvPr id="7" name="Rectangle 6">
          <a:extLst>
            <a:ext uri="{FF2B5EF4-FFF2-40B4-BE49-F238E27FC236}">
              <a16:creationId xmlns:a16="http://schemas.microsoft.com/office/drawing/2014/main" id="{9D499702-9B8E-E3F7-0691-8F11356B81C5}"/>
            </a:ext>
          </a:extLst>
        </xdr:cNvPr>
        <xdr:cNvSpPr/>
      </xdr:nvSpPr>
      <xdr:spPr>
        <a:xfrm>
          <a:off x="19118140" y="4771293"/>
          <a:ext cx="4504592" cy="241935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419100</xdr:colOff>
      <xdr:row>6</xdr:row>
      <xdr:rowOff>76200</xdr:rowOff>
    </xdr:from>
    <xdr:to>
      <xdr:col>6</xdr:col>
      <xdr:colOff>485775</xdr:colOff>
      <xdr:row>13</xdr:row>
      <xdr:rowOff>114300</xdr:rowOff>
    </xdr:to>
    <xdr:sp macro="" textlink="">
      <xdr:nvSpPr>
        <xdr:cNvPr id="8" name="Rectangle: Rounded Corners 7">
          <a:extLst>
            <a:ext uri="{FF2B5EF4-FFF2-40B4-BE49-F238E27FC236}">
              <a16:creationId xmlns:a16="http://schemas.microsoft.com/office/drawing/2014/main" id="{CBF7336A-D02F-F894-B1F5-1CD855BC718F}"/>
            </a:ext>
          </a:extLst>
        </xdr:cNvPr>
        <xdr:cNvSpPr/>
      </xdr:nvSpPr>
      <xdr:spPr>
        <a:xfrm>
          <a:off x="13220700" y="1028700"/>
          <a:ext cx="1895475" cy="13716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266700</xdr:colOff>
      <xdr:row>6</xdr:row>
      <xdr:rowOff>76200</xdr:rowOff>
    </xdr:from>
    <xdr:to>
      <xdr:col>10</xdr:col>
      <xdr:colOff>333375</xdr:colOff>
      <xdr:row>13</xdr:row>
      <xdr:rowOff>114300</xdr:rowOff>
    </xdr:to>
    <xdr:sp macro="" textlink="">
      <xdr:nvSpPr>
        <xdr:cNvPr id="9" name="Rectangle: Rounded Corners 8">
          <a:extLst>
            <a:ext uri="{FF2B5EF4-FFF2-40B4-BE49-F238E27FC236}">
              <a16:creationId xmlns:a16="http://schemas.microsoft.com/office/drawing/2014/main" id="{189E1C30-5312-921B-1C04-E73451902706}"/>
            </a:ext>
          </a:extLst>
        </xdr:cNvPr>
        <xdr:cNvSpPr/>
      </xdr:nvSpPr>
      <xdr:spPr>
        <a:xfrm>
          <a:off x="15506700" y="1028700"/>
          <a:ext cx="1895475" cy="13716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190500</xdr:colOff>
      <xdr:row>6</xdr:row>
      <xdr:rowOff>85725</xdr:rowOff>
    </xdr:from>
    <xdr:to>
      <xdr:col>14</xdr:col>
      <xdr:colOff>257175</xdr:colOff>
      <xdr:row>13</xdr:row>
      <xdr:rowOff>123825</xdr:rowOff>
    </xdr:to>
    <xdr:sp macro="" textlink="">
      <xdr:nvSpPr>
        <xdr:cNvPr id="10" name="Rectangle: Rounded Corners 9">
          <a:extLst>
            <a:ext uri="{FF2B5EF4-FFF2-40B4-BE49-F238E27FC236}">
              <a16:creationId xmlns:a16="http://schemas.microsoft.com/office/drawing/2014/main" id="{71BB36E1-7F6E-3259-A2D9-0A7A9BBD521E}"/>
            </a:ext>
          </a:extLst>
        </xdr:cNvPr>
        <xdr:cNvSpPr/>
      </xdr:nvSpPr>
      <xdr:spPr>
        <a:xfrm>
          <a:off x="17868900" y="1038225"/>
          <a:ext cx="1895475" cy="13716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447675</xdr:colOff>
      <xdr:row>15</xdr:row>
      <xdr:rowOff>66676</xdr:rowOff>
    </xdr:from>
    <xdr:to>
      <xdr:col>14</xdr:col>
      <xdr:colOff>238125</xdr:colOff>
      <xdr:row>21</xdr:row>
      <xdr:rowOff>47626</xdr:rowOff>
    </xdr:to>
    <xdr:sp macro="" textlink="">
      <xdr:nvSpPr>
        <xdr:cNvPr id="12" name="Rectangle: Rounded Corners 11">
          <a:extLst>
            <a:ext uri="{FF2B5EF4-FFF2-40B4-BE49-F238E27FC236}">
              <a16:creationId xmlns:a16="http://schemas.microsoft.com/office/drawing/2014/main" id="{2274197A-6DDD-4886-7871-C43A2F9C5ED0}"/>
            </a:ext>
          </a:extLst>
        </xdr:cNvPr>
        <xdr:cNvSpPr/>
      </xdr:nvSpPr>
      <xdr:spPr>
        <a:xfrm>
          <a:off x="13249275" y="2733676"/>
          <a:ext cx="6496050" cy="1123950"/>
        </a:xfrm>
        <a:prstGeom prst="roundRect">
          <a:avLst>
            <a:gd name="adj" fmla="val 943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590550</xdr:colOff>
      <xdr:row>24</xdr:row>
      <xdr:rowOff>47626</xdr:rowOff>
    </xdr:from>
    <xdr:to>
      <xdr:col>12</xdr:col>
      <xdr:colOff>276225</xdr:colOff>
      <xdr:row>36</xdr:row>
      <xdr:rowOff>171450</xdr:rowOff>
    </xdr:to>
    <xdr:sp macro="" textlink="">
      <xdr:nvSpPr>
        <xdr:cNvPr id="13" name="Rectangle 12">
          <a:extLst>
            <a:ext uri="{FF2B5EF4-FFF2-40B4-BE49-F238E27FC236}">
              <a16:creationId xmlns:a16="http://schemas.microsoft.com/office/drawing/2014/main" id="{E3B84988-9882-18C7-5C4F-1071F313705F}"/>
            </a:ext>
          </a:extLst>
        </xdr:cNvPr>
        <xdr:cNvSpPr/>
      </xdr:nvSpPr>
      <xdr:spPr>
        <a:xfrm>
          <a:off x="11563350" y="4429126"/>
          <a:ext cx="7000875" cy="2409824"/>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104775</xdr:colOff>
      <xdr:row>2</xdr:row>
      <xdr:rowOff>9525</xdr:rowOff>
    </xdr:from>
    <xdr:to>
      <xdr:col>13</xdr:col>
      <xdr:colOff>9525</xdr:colOff>
      <xdr:row>3</xdr:row>
      <xdr:rowOff>152400</xdr:rowOff>
    </xdr:to>
    <xdr:sp macro="" textlink="">
      <xdr:nvSpPr>
        <xdr:cNvPr id="14" name="TextBox 13">
          <a:extLst>
            <a:ext uri="{FF2B5EF4-FFF2-40B4-BE49-F238E27FC236}">
              <a16:creationId xmlns:a16="http://schemas.microsoft.com/office/drawing/2014/main" id="{8DF94E6F-D4F4-F6EA-EFD5-C5F3C80DA403}"/>
            </a:ext>
          </a:extLst>
        </xdr:cNvPr>
        <xdr:cNvSpPr txBox="1"/>
      </xdr:nvSpPr>
      <xdr:spPr>
        <a:xfrm>
          <a:off x="14735175" y="200025"/>
          <a:ext cx="4171950" cy="33337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600" b="1" i="0">
              <a:latin typeface="Arial Rounded MT Bold" panose="020F0704030504030204" pitchFamily="34" charset="0"/>
            </a:rPr>
            <a:t>Hospital Emergency Room</a:t>
          </a:r>
          <a:r>
            <a:rPr lang="en-IN" sz="1600" b="1" i="0" baseline="0">
              <a:latin typeface="Arial Rounded MT Bold" panose="020F0704030504030204" pitchFamily="34" charset="0"/>
            </a:rPr>
            <a:t> </a:t>
          </a:r>
          <a:r>
            <a:rPr lang="en-IN" sz="1600" b="1" i="0">
              <a:latin typeface="Arial Rounded MT Bold" panose="020F0704030504030204" pitchFamily="34" charset="0"/>
            </a:rPr>
            <a:t>Dashboard</a:t>
          </a:r>
          <a:endParaRPr lang="en-IN" sz="1600" b="1"/>
        </a:p>
      </xdr:txBody>
    </xdr:sp>
    <xdr:clientData/>
  </xdr:twoCellAnchor>
  <xdr:twoCellAnchor editAs="oneCell">
    <xdr:from>
      <xdr:col>3</xdr:col>
      <xdr:colOff>400049</xdr:colOff>
      <xdr:row>1</xdr:row>
      <xdr:rowOff>66675</xdr:rowOff>
    </xdr:from>
    <xdr:to>
      <xdr:col>5</xdr:col>
      <xdr:colOff>561975</xdr:colOff>
      <xdr:row>5</xdr:row>
      <xdr:rowOff>161925</xdr:rowOff>
    </xdr:to>
    <xdr:pic>
      <xdr:nvPicPr>
        <xdr:cNvPr id="16" name="Picture 15">
          <a:extLst>
            <a:ext uri="{FF2B5EF4-FFF2-40B4-BE49-F238E27FC236}">
              <a16:creationId xmlns:a16="http://schemas.microsoft.com/office/drawing/2014/main" id="{01939A11-B399-F8D9-588D-B868BDF5D6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01649" y="66675"/>
          <a:ext cx="1381126" cy="857250"/>
        </a:xfrm>
        <a:prstGeom prst="rect">
          <a:avLst/>
        </a:prstGeom>
      </xdr:spPr>
    </xdr:pic>
    <xdr:clientData/>
  </xdr:twoCellAnchor>
  <xdr:twoCellAnchor>
    <xdr:from>
      <xdr:col>8</xdr:col>
      <xdr:colOff>390525</xdr:colOff>
      <xdr:row>4</xdr:row>
      <xdr:rowOff>9524</xdr:rowOff>
    </xdr:from>
    <xdr:to>
      <xdr:col>10</xdr:col>
      <xdr:colOff>571500</xdr:colOff>
      <xdr:row>5</xdr:row>
      <xdr:rowOff>76200</xdr:rowOff>
    </xdr:to>
    <xdr:sp macro="" textlink="">
      <xdr:nvSpPr>
        <xdr:cNvPr id="18" name="TextBox 17">
          <a:extLst>
            <a:ext uri="{FF2B5EF4-FFF2-40B4-BE49-F238E27FC236}">
              <a16:creationId xmlns:a16="http://schemas.microsoft.com/office/drawing/2014/main" id="{06468057-A365-FE34-AF13-F7FA9A18B484}"/>
            </a:ext>
          </a:extLst>
        </xdr:cNvPr>
        <xdr:cNvSpPr txBox="1"/>
      </xdr:nvSpPr>
      <xdr:spPr>
        <a:xfrm>
          <a:off x="16240125" y="581024"/>
          <a:ext cx="1400175" cy="257176"/>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Monthly   Report</a:t>
          </a:r>
        </a:p>
      </xdr:txBody>
    </xdr:sp>
    <xdr:clientData/>
  </xdr:twoCellAnchor>
  <xdr:twoCellAnchor>
    <xdr:from>
      <xdr:col>3</xdr:col>
      <xdr:colOff>438150</xdr:colOff>
      <xdr:row>7</xdr:row>
      <xdr:rowOff>57150</xdr:rowOff>
    </xdr:from>
    <xdr:to>
      <xdr:col>6</xdr:col>
      <xdr:colOff>476251</xdr:colOff>
      <xdr:row>8</xdr:row>
      <xdr:rowOff>66676</xdr:rowOff>
    </xdr:to>
    <xdr:sp macro="" textlink="">
      <xdr:nvSpPr>
        <xdr:cNvPr id="19" name="TextBox 18">
          <a:extLst>
            <a:ext uri="{FF2B5EF4-FFF2-40B4-BE49-F238E27FC236}">
              <a16:creationId xmlns:a16="http://schemas.microsoft.com/office/drawing/2014/main" id="{7E77D75A-CCF4-2723-43F7-DFC4A743AEEE}"/>
            </a:ext>
          </a:extLst>
        </xdr:cNvPr>
        <xdr:cNvSpPr txBox="1"/>
      </xdr:nvSpPr>
      <xdr:spPr>
        <a:xfrm>
          <a:off x="13239750" y="1200150"/>
          <a:ext cx="1866901" cy="200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No.</a:t>
          </a:r>
          <a:r>
            <a:rPr lang="en-IN" sz="1100" baseline="0"/>
            <a:t> of Patients</a:t>
          </a:r>
          <a:endParaRPr lang="en-IN" sz="1100"/>
        </a:p>
      </xdr:txBody>
    </xdr:sp>
    <xdr:clientData/>
  </xdr:twoCellAnchor>
  <xdr:twoCellAnchor>
    <xdr:from>
      <xdr:col>4</xdr:col>
      <xdr:colOff>457200</xdr:colOff>
      <xdr:row>8</xdr:row>
      <xdr:rowOff>152400</xdr:rowOff>
    </xdr:from>
    <xdr:to>
      <xdr:col>5</xdr:col>
      <xdr:colOff>419100</xdr:colOff>
      <xdr:row>10</xdr:row>
      <xdr:rowOff>28575</xdr:rowOff>
    </xdr:to>
    <xdr:sp macro="" textlink="'Pivot Report'!A10">
      <xdr:nvSpPr>
        <xdr:cNvPr id="22" name="TextBox 21">
          <a:extLst>
            <a:ext uri="{FF2B5EF4-FFF2-40B4-BE49-F238E27FC236}">
              <a16:creationId xmlns:a16="http://schemas.microsoft.com/office/drawing/2014/main" id="{0A78DCB1-A005-7964-D37B-3D8AA6C82EED}"/>
            </a:ext>
          </a:extLst>
        </xdr:cNvPr>
        <xdr:cNvSpPr txBox="1"/>
      </xdr:nvSpPr>
      <xdr:spPr>
        <a:xfrm>
          <a:off x="13868400" y="1485900"/>
          <a:ext cx="57150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5BBF55-1529-4D37-AC19-94582052EFEF}" type="TxLink">
            <a:rPr lang="en-US" sz="1100" b="0" i="0" u="none" strike="noStrike">
              <a:solidFill>
                <a:srgbClr val="000000"/>
              </a:solidFill>
              <a:latin typeface="Calibri"/>
              <a:ea typeface="Calibri"/>
              <a:cs typeface="Calibri"/>
            </a:rPr>
            <a:pPr/>
            <a:t>506.00</a:t>
          </a:fld>
          <a:endParaRPr lang="en-IN" sz="1100"/>
        </a:p>
      </xdr:txBody>
    </xdr:sp>
    <xdr:clientData/>
  </xdr:twoCellAnchor>
  <xdr:twoCellAnchor>
    <xdr:from>
      <xdr:col>7</xdr:col>
      <xdr:colOff>276225</xdr:colOff>
      <xdr:row>7</xdr:row>
      <xdr:rowOff>66675</xdr:rowOff>
    </xdr:from>
    <xdr:to>
      <xdr:col>10</xdr:col>
      <xdr:colOff>314326</xdr:colOff>
      <xdr:row>8</xdr:row>
      <xdr:rowOff>123825</xdr:rowOff>
    </xdr:to>
    <xdr:sp macro="" textlink="">
      <xdr:nvSpPr>
        <xdr:cNvPr id="23" name="TextBox 22">
          <a:extLst>
            <a:ext uri="{FF2B5EF4-FFF2-40B4-BE49-F238E27FC236}">
              <a16:creationId xmlns:a16="http://schemas.microsoft.com/office/drawing/2014/main" id="{736B3EF6-6B08-CDC2-D630-511EE8798328}"/>
            </a:ext>
          </a:extLst>
        </xdr:cNvPr>
        <xdr:cNvSpPr txBox="1"/>
      </xdr:nvSpPr>
      <xdr:spPr>
        <a:xfrm>
          <a:off x="15516225" y="1209675"/>
          <a:ext cx="1866901"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Patient's</a:t>
          </a:r>
          <a:r>
            <a:rPr lang="en-IN" sz="1100" baseline="0"/>
            <a:t> Satisfaction Score</a:t>
          </a:r>
          <a:endParaRPr lang="en-IN" sz="1100"/>
        </a:p>
      </xdr:txBody>
    </xdr:sp>
    <xdr:clientData/>
  </xdr:twoCellAnchor>
  <xdr:twoCellAnchor>
    <xdr:from>
      <xdr:col>8</xdr:col>
      <xdr:colOff>304799</xdr:colOff>
      <xdr:row>8</xdr:row>
      <xdr:rowOff>171451</xdr:rowOff>
    </xdr:from>
    <xdr:to>
      <xdr:col>9</xdr:col>
      <xdr:colOff>428624</xdr:colOff>
      <xdr:row>10</xdr:row>
      <xdr:rowOff>38101</xdr:rowOff>
    </xdr:to>
    <xdr:sp macro="" textlink="'Pivot Report'!A14">
      <xdr:nvSpPr>
        <xdr:cNvPr id="24" name="TextBox 23">
          <a:extLst>
            <a:ext uri="{FF2B5EF4-FFF2-40B4-BE49-F238E27FC236}">
              <a16:creationId xmlns:a16="http://schemas.microsoft.com/office/drawing/2014/main" id="{67E1918F-9823-9AE9-4FF1-EB44B8B598A3}"/>
            </a:ext>
          </a:extLst>
        </xdr:cNvPr>
        <xdr:cNvSpPr txBox="1"/>
      </xdr:nvSpPr>
      <xdr:spPr>
        <a:xfrm>
          <a:off x="16154399" y="1504951"/>
          <a:ext cx="7334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D83E93-4451-4F2C-A05A-A9C7BB41DA9D}" type="TxLink">
            <a:rPr lang="en-US" sz="1100" b="0" i="0" u="none" strike="noStrike">
              <a:solidFill>
                <a:srgbClr val="000000"/>
              </a:solidFill>
              <a:latin typeface="Calibri"/>
              <a:ea typeface="Calibri"/>
              <a:cs typeface="Calibri"/>
            </a:rPr>
            <a:pPr/>
            <a:t>741.00</a:t>
          </a:fld>
          <a:endParaRPr lang="en-IN" sz="1100"/>
        </a:p>
      </xdr:txBody>
    </xdr:sp>
    <xdr:clientData/>
  </xdr:twoCellAnchor>
  <xdr:twoCellAnchor>
    <xdr:from>
      <xdr:col>11</xdr:col>
      <xdr:colOff>190500</xdr:colOff>
      <xdr:row>7</xdr:row>
      <xdr:rowOff>57151</xdr:rowOff>
    </xdr:from>
    <xdr:to>
      <xdr:col>14</xdr:col>
      <xdr:colOff>247650</xdr:colOff>
      <xdr:row>8</xdr:row>
      <xdr:rowOff>114300</xdr:rowOff>
    </xdr:to>
    <xdr:sp macro="" textlink="">
      <xdr:nvSpPr>
        <xdr:cNvPr id="25" name="TextBox 24">
          <a:extLst>
            <a:ext uri="{FF2B5EF4-FFF2-40B4-BE49-F238E27FC236}">
              <a16:creationId xmlns:a16="http://schemas.microsoft.com/office/drawing/2014/main" id="{45928520-CCB3-4F37-ECD6-F3CCC63107DA}"/>
            </a:ext>
          </a:extLst>
        </xdr:cNvPr>
        <xdr:cNvSpPr txBox="1"/>
      </xdr:nvSpPr>
      <xdr:spPr>
        <a:xfrm>
          <a:off x="17868900" y="1200151"/>
          <a:ext cx="1885950" cy="24764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Patient's</a:t>
          </a:r>
          <a:r>
            <a:rPr lang="en-IN" sz="1100" baseline="0"/>
            <a:t> Waiting time</a:t>
          </a:r>
          <a:endParaRPr lang="en-IN" sz="1100"/>
        </a:p>
      </xdr:txBody>
    </xdr:sp>
    <xdr:clientData/>
  </xdr:twoCellAnchor>
  <xdr:twoCellAnchor>
    <xdr:from>
      <xdr:col>12</xdr:col>
      <xdr:colOff>209549</xdr:colOff>
      <xdr:row>8</xdr:row>
      <xdr:rowOff>180976</xdr:rowOff>
    </xdr:from>
    <xdr:to>
      <xdr:col>13</xdr:col>
      <xdr:colOff>133350</xdr:colOff>
      <xdr:row>10</xdr:row>
      <xdr:rowOff>47626</xdr:rowOff>
    </xdr:to>
    <xdr:sp macro="" textlink="'Pivot Report'!A6">
      <xdr:nvSpPr>
        <xdr:cNvPr id="26" name="TextBox 25">
          <a:extLst>
            <a:ext uri="{FF2B5EF4-FFF2-40B4-BE49-F238E27FC236}">
              <a16:creationId xmlns:a16="http://schemas.microsoft.com/office/drawing/2014/main" id="{13DC9DE2-01C7-1495-54F9-1231C5D112A5}"/>
            </a:ext>
          </a:extLst>
        </xdr:cNvPr>
        <xdr:cNvSpPr txBox="1"/>
      </xdr:nvSpPr>
      <xdr:spPr>
        <a:xfrm>
          <a:off x="18497549" y="1514476"/>
          <a:ext cx="533401"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86F119-71FC-484D-8819-1C24EC1B4B00}" type="TxLink">
            <a:rPr lang="en-US" sz="1100" b="0" i="0" u="none" strike="noStrike">
              <a:solidFill>
                <a:srgbClr val="000000"/>
              </a:solidFill>
              <a:latin typeface="Calibri"/>
              <a:ea typeface="Calibri"/>
              <a:cs typeface="Calibri"/>
            </a:rPr>
            <a:pPr/>
            <a:t>35.58</a:t>
          </a:fld>
          <a:endParaRPr lang="en-IN" sz="1100"/>
        </a:p>
      </xdr:txBody>
    </xdr:sp>
    <xdr:clientData/>
  </xdr:twoCellAnchor>
  <xdr:twoCellAnchor editAs="oneCell">
    <xdr:from>
      <xdr:col>0</xdr:col>
      <xdr:colOff>600076</xdr:colOff>
      <xdr:row>7</xdr:row>
      <xdr:rowOff>47625</xdr:rowOff>
    </xdr:from>
    <xdr:to>
      <xdr:col>2</xdr:col>
      <xdr:colOff>495300</xdr:colOff>
      <xdr:row>23</xdr:row>
      <xdr:rowOff>85725</xdr:rowOff>
    </xdr:to>
    <mc:AlternateContent xmlns:mc="http://schemas.openxmlformats.org/markup-compatibility/2006">
      <mc:Choice xmlns:a14="http://schemas.microsoft.com/office/drawing/2010/main" Requires="a14">
        <xdr:graphicFrame macro="">
          <xdr:nvGraphicFramePr>
            <xdr:cNvPr id="11" name="Date (Month) 1">
              <a:extLst>
                <a:ext uri="{FF2B5EF4-FFF2-40B4-BE49-F238E27FC236}">
                  <a16:creationId xmlns:a16="http://schemas.microsoft.com/office/drawing/2014/main" id="{8BA26B00-1F4C-4A5F-A246-81FE1894DBF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600076" y="1381125"/>
              <a:ext cx="1126147" cy="308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10</xdr:row>
      <xdr:rowOff>95250</xdr:rowOff>
    </xdr:from>
    <xdr:to>
      <xdr:col>6</xdr:col>
      <xdr:colOff>447676</xdr:colOff>
      <xdr:row>13</xdr:row>
      <xdr:rowOff>0</xdr:rowOff>
    </xdr:to>
    <xdr:graphicFrame macro="">
      <xdr:nvGraphicFramePr>
        <xdr:cNvPr id="20" name="Chart 19">
          <a:hlinkClick xmlns:r="http://schemas.openxmlformats.org/officeDocument/2006/relationships" r:id="rId2"/>
          <a:extLst>
            <a:ext uri="{FF2B5EF4-FFF2-40B4-BE49-F238E27FC236}">
              <a16:creationId xmlns:a16="http://schemas.microsoft.com/office/drawing/2014/main" id="{8BD2C8A0-BF25-45BC-A211-152DB8391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200025</xdr:colOff>
      <xdr:row>8</xdr:row>
      <xdr:rowOff>85725</xdr:rowOff>
    </xdr:from>
    <xdr:to>
      <xdr:col>14</xdr:col>
      <xdr:colOff>209550</xdr:colOff>
      <xdr:row>13</xdr:row>
      <xdr:rowOff>161924</xdr:rowOff>
    </xdr:to>
    <xdr:graphicFrame macro="">
      <xdr:nvGraphicFramePr>
        <xdr:cNvPr id="27" name="Chart 26">
          <a:hlinkClick xmlns:r="http://schemas.openxmlformats.org/officeDocument/2006/relationships" r:id="rId4"/>
          <a:extLst>
            <a:ext uri="{FF2B5EF4-FFF2-40B4-BE49-F238E27FC236}">
              <a16:creationId xmlns:a16="http://schemas.microsoft.com/office/drawing/2014/main" id="{7805DDF6-9C6B-4E2B-8E9F-ABD9561C2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276224</xdr:colOff>
      <xdr:row>7</xdr:row>
      <xdr:rowOff>123825</xdr:rowOff>
    </xdr:from>
    <xdr:to>
      <xdr:col>10</xdr:col>
      <xdr:colOff>323849</xdr:colOff>
      <xdr:row>13</xdr:row>
      <xdr:rowOff>128587</xdr:rowOff>
    </xdr:to>
    <xdr:graphicFrame macro="">
      <xdr:nvGraphicFramePr>
        <xdr:cNvPr id="28" name="Chart 27">
          <a:hlinkClick xmlns:r="http://schemas.openxmlformats.org/officeDocument/2006/relationships" r:id="rId6"/>
          <a:extLst>
            <a:ext uri="{FF2B5EF4-FFF2-40B4-BE49-F238E27FC236}">
              <a16:creationId xmlns:a16="http://schemas.microsoft.com/office/drawing/2014/main" id="{656C6C3E-FE93-4B34-A49F-27098FEA4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581025</xdr:colOff>
      <xdr:row>15</xdr:row>
      <xdr:rowOff>152399</xdr:rowOff>
    </xdr:from>
    <xdr:to>
      <xdr:col>14</xdr:col>
      <xdr:colOff>85725</xdr:colOff>
      <xdr:row>20</xdr:row>
      <xdr:rowOff>123824</xdr:rowOff>
    </xdr:to>
    <xdr:pic>
      <xdr:nvPicPr>
        <xdr:cNvPr id="36" name="Picture 35">
          <a:extLst>
            <a:ext uri="{FF2B5EF4-FFF2-40B4-BE49-F238E27FC236}">
              <a16:creationId xmlns:a16="http://schemas.microsoft.com/office/drawing/2014/main" id="{DCE3DEC5-04EC-8BB9-4797-56DA082284B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382625" y="2819399"/>
          <a:ext cx="6210300"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190500</xdr:colOff>
      <xdr:row>2</xdr:row>
      <xdr:rowOff>47626</xdr:rowOff>
    </xdr:from>
    <xdr:to>
      <xdr:col>20</xdr:col>
      <xdr:colOff>161925</xdr:colOff>
      <xdr:row>12</xdr:row>
      <xdr:rowOff>66676</xdr:rowOff>
    </xdr:to>
    <xdr:graphicFrame macro="">
      <xdr:nvGraphicFramePr>
        <xdr:cNvPr id="45" name="Chart 44">
          <a:extLst>
            <a:ext uri="{FF2B5EF4-FFF2-40B4-BE49-F238E27FC236}">
              <a16:creationId xmlns:a16="http://schemas.microsoft.com/office/drawing/2014/main" id="{BD3BDBFB-07F2-40EA-B8B3-F64160BFC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209550</xdr:colOff>
      <xdr:row>13</xdr:row>
      <xdr:rowOff>28575</xdr:rowOff>
    </xdr:from>
    <xdr:to>
      <xdr:col>20</xdr:col>
      <xdr:colOff>180975</xdr:colOff>
      <xdr:row>23</xdr:row>
      <xdr:rowOff>66675</xdr:rowOff>
    </xdr:to>
    <xdr:graphicFrame macro="">
      <xdr:nvGraphicFramePr>
        <xdr:cNvPr id="46" name="Chart 45">
          <a:extLst>
            <a:ext uri="{FF2B5EF4-FFF2-40B4-BE49-F238E27FC236}">
              <a16:creationId xmlns:a16="http://schemas.microsoft.com/office/drawing/2014/main" id="{C8D1E350-656E-40E2-AAD2-8EEF3084C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xdr:colOff>
      <xdr:row>24</xdr:row>
      <xdr:rowOff>57150</xdr:rowOff>
    </xdr:from>
    <xdr:to>
      <xdr:col>20</xdr:col>
      <xdr:colOff>152401</xdr:colOff>
      <xdr:row>36</xdr:row>
      <xdr:rowOff>171450</xdr:rowOff>
    </xdr:to>
    <xdr:graphicFrame macro="">
      <xdr:nvGraphicFramePr>
        <xdr:cNvPr id="47" name="Chart 46">
          <a:extLst>
            <a:ext uri="{FF2B5EF4-FFF2-40B4-BE49-F238E27FC236}">
              <a16:creationId xmlns:a16="http://schemas.microsoft.com/office/drawing/2014/main" id="{5EAADFDD-F029-4C12-842C-924F24152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590550</xdr:colOff>
      <xdr:row>24</xdr:row>
      <xdr:rowOff>47626</xdr:rowOff>
    </xdr:from>
    <xdr:to>
      <xdr:col>12</xdr:col>
      <xdr:colOff>257175</xdr:colOff>
      <xdr:row>36</xdr:row>
      <xdr:rowOff>171450</xdr:rowOff>
    </xdr:to>
    <xdr:graphicFrame macro="">
      <xdr:nvGraphicFramePr>
        <xdr:cNvPr id="48" name="Chart 47">
          <a:extLst>
            <a:ext uri="{FF2B5EF4-FFF2-40B4-BE49-F238E27FC236}">
              <a16:creationId xmlns:a16="http://schemas.microsoft.com/office/drawing/2014/main" id="{A7535647-848E-49ED-AFD0-9CBFC2C96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600076</xdr:colOff>
      <xdr:row>1</xdr:row>
      <xdr:rowOff>171451</xdr:rowOff>
    </xdr:from>
    <xdr:to>
      <xdr:col>2</xdr:col>
      <xdr:colOff>457200</xdr:colOff>
      <xdr:row>6</xdr:row>
      <xdr:rowOff>161925</xdr:rowOff>
    </xdr:to>
    <mc:AlternateContent xmlns:mc="http://schemas.openxmlformats.org/markup-compatibility/2006">
      <mc:Choice xmlns:a14="http://schemas.microsoft.com/office/drawing/2010/main" Requires="a14">
        <xdr:graphicFrame macro="">
          <xdr:nvGraphicFramePr>
            <xdr:cNvPr id="50" name="Date (Year) 1">
              <a:extLst>
                <a:ext uri="{FF2B5EF4-FFF2-40B4-BE49-F238E27FC236}">
                  <a16:creationId xmlns:a16="http://schemas.microsoft.com/office/drawing/2014/main" id="{C1AEF56F-25CE-4DA5-A649-0259A75E745C}"/>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600076" y="361951"/>
              <a:ext cx="1088047" cy="94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314325</xdr:colOff>
      <xdr:row>1</xdr:row>
      <xdr:rowOff>180975</xdr:rowOff>
    </xdr:from>
    <xdr:to>
      <xdr:col>18</xdr:col>
      <xdr:colOff>333375</xdr:colOff>
      <xdr:row>21</xdr:row>
      <xdr:rowOff>9525</xdr:rowOff>
    </xdr:to>
    <xdr:graphicFrame macro="">
      <xdr:nvGraphicFramePr>
        <xdr:cNvPr id="2" name="Chart 1">
          <a:extLst>
            <a:ext uri="{FF2B5EF4-FFF2-40B4-BE49-F238E27FC236}">
              <a16:creationId xmlns:a16="http://schemas.microsoft.com/office/drawing/2014/main" id="{A440F580-528F-46E0-90AA-FD143931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0.94627</cdr:x>
      <cdr:y>0</cdr:y>
    </cdr:from>
    <cdr:to>
      <cdr:x>1</cdr:x>
      <cdr:y>0.1623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D84D7CE-BE81-E0EE-A264-2493822A04B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401300" y="0"/>
          <a:ext cx="590550" cy="5905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0</xdr:colOff>
      <xdr:row>1</xdr:row>
      <xdr:rowOff>180976</xdr:rowOff>
    </xdr:from>
    <xdr:to>
      <xdr:col>16</xdr:col>
      <xdr:colOff>542925</xdr:colOff>
      <xdr:row>19</xdr:row>
      <xdr:rowOff>180976</xdr:rowOff>
    </xdr:to>
    <xdr:graphicFrame macro="">
      <xdr:nvGraphicFramePr>
        <xdr:cNvPr id="2" name="Chart 1">
          <a:extLst>
            <a:ext uri="{FF2B5EF4-FFF2-40B4-BE49-F238E27FC236}">
              <a16:creationId xmlns:a16="http://schemas.microsoft.com/office/drawing/2014/main" id="{40E66748-1D9F-4FE3-B633-A76C0475C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0.92232</cdr:x>
      <cdr:y>0</cdr:y>
    </cdr:from>
    <cdr:to>
      <cdr:x>1</cdr:x>
      <cdr:y>0.17778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472B185-DC57-EB93-4237-A28C9D5DFF6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934450" y="0"/>
          <a:ext cx="752475" cy="609598"/>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238125</xdr:colOff>
      <xdr:row>2</xdr:row>
      <xdr:rowOff>190499</xdr:rowOff>
    </xdr:from>
    <xdr:to>
      <xdr:col>17</xdr:col>
      <xdr:colOff>514350</xdr:colOff>
      <xdr:row>24</xdr:row>
      <xdr:rowOff>180975</xdr:rowOff>
    </xdr:to>
    <xdr:graphicFrame macro="">
      <xdr:nvGraphicFramePr>
        <xdr:cNvPr id="2" name="Chart 1">
          <a:extLst>
            <a:ext uri="{FF2B5EF4-FFF2-40B4-BE49-F238E27FC236}">
              <a16:creationId xmlns:a16="http://schemas.microsoft.com/office/drawing/2014/main" id="{AE7B0A34-65B6-4F5C-9AEA-46F507155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0.93196</cdr:x>
      <cdr:y>0.01139</cdr:y>
    </cdr:from>
    <cdr:to>
      <cdr:x>0.98389</cdr:x>
      <cdr:y>0.14351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ECB398A-A8BD-202D-D737-BB73B4CBFD8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915525" y="47625"/>
          <a:ext cx="552450" cy="5524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1805558" createdVersion="5" refreshedVersion="8" minRefreshableVersion="3" recordCount="0" supportSubquery="1" supportAdvancedDrill="1" xr:uid="{9AF0E622-61CC-4629-AF0C-3EFFC17349AF}">
  <cacheSource type="external" connectionId="3"/>
  <cacheFields count="4">
    <cacheField name="[Calender_Table].[Date (Month)].[Date (Month)]" caption="Date (Month)" numFmtId="0" hierarchy="1" level="1">
      <sharedItems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3"/>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2037035" createdVersion="5" refreshedVersion="8" minRefreshableVersion="3" recordCount="0" supportSubquery="1" supportAdvancedDrill="1" xr:uid="{A40CAD8F-43AA-4CF6-A5EC-70C49CF222CD}">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2384258" createdVersion="5" refreshedVersion="8" minRefreshableVersion="3" recordCount="0" supportSubquery="1" supportAdvancedDrill="1" xr:uid="{FB9D22B1-C8B7-4F85-AD4D-34646C8237AD}">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2962966" createdVersion="5" refreshedVersion="8" minRefreshableVersion="3" recordCount="0" supportSubquery="1" supportAdvancedDrill="1" xr:uid="{AAF104D0-25EE-424A-9810-DB0C531D2981}">
  <cacheSource type="external" connectionId="3"/>
  <cacheFields count="4">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1"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3425928" createdVersion="5" refreshedVersion="8" minRefreshableVersion="3" recordCount="0" supportSubquery="1" supportAdvancedDrill="1" xr:uid="{67C713D6-F067-448F-B70B-F0E6A49E3F4D}">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4004629" createdVersion="5" refreshedVersion="8" minRefreshableVersion="3" recordCount="0" supportSubquery="1" supportAdvancedDrill="1" xr:uid="{1B2EE48F-50A9-420F-B0EB-D64F500EC9C7}">
  <cacheSource type="external" connectionId="3"/>
  <cacheFields count="4">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35"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4467591" createdVersion="5" refreshedVersion="8" minRefreshableVersion="3" recordCount="0" supportSubquery="1" supportAdvancedDrill="1" xr:uid="{BD498FAC-7D47-4D87-A0B5-A2BE0C0B87A2}">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6"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4814814" createdVersion="5" refreshedVersion="8" minRefreshableVersion="3" recordCount="0" supportSubquery="1" supportAdvancedDrill="1" xr:uid="{EC692FB5-EA6E-4292-B1BD-F3E59E95E5D3}">
  <cacheSource type="external" connectionId="3"/>
  <cacheFields count="3">
    <cacheField name="[Measures].[Sum of Patient Satisfaction Score]" caption="Sum of Patient Satisfaction Scor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5046298" createdVersion="5" refreshedVersion="8" minRefreshableVersion="3" recordCount="0" supportSubquery="1" supportAdvancedDrill="1" xr:uid="{00720154-BCDE-4A3C-B683-35BE4D435F62}">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5624999" createdVersion="5" refreshedVersion="8" minRefreshableVersion="3" recordCount="0" supportSubquery="1" supportAdvancedDrill="1" xr:uid="{9DB506CD-C53F-4F86-8450-2741022C880C}">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6203707" createdVersion="5" refreshedVersion="8" minRefreshableVersion="3" recordCount="0" supportSubquery="1" supportAdvancedDrill="1" xr:uid="{FF60AA08-996F-431C-B8D5-761C3DEE31F3}">
  <cacheSource type="external" connectionId="3"/>
  <cacheFields count="4">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5.114066666669" createdVersion="5" refreshedVersion="8" minRefreshableVersion="3" recordCount="0" supportSubquery="1" supportAdvancedDrill="1" xr:uid="{34E6D890-0382-46FC-B1B5-76CFDD128632}">
  <cacheSource type="external" connectionId="3"/>
  <cacheFields count="4">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Sum of Patient Satisfaction Score]" caption="Sum of Patient Satisfaction Score" numFmtId="0" hierarchy="27"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259454282408" createdVersion="3" refreshedVersion="8" minRefreshableVersion="3" recordCount="0" supportSubquery="1" supportAdvancedDrill="1" xr:uid="{CD42D093-967C-4C92-B44C-2E63CF591D60}">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Age]" caption="Distinct 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443649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B09968-8458-490A-A209-B6111A6A9219}" name="PivotTable2" cacheId="216" applyNumberFormats="0" applyBorderFormats="0" applyFontFormats="0" applyPatternFormats="0" applyAlignmentFormats="0" applyWidthHeightFormats="1" dataCaption="Values" tag="cade1b21-823d-42cf-9538-305c09a39a6f" updatedVersion="8" minRefreshableVersion="3"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atient Satisfaction Score" fld="0" baseField="0" baseItem="0" numFmtId="2"/>
  </dataFields>
  <formats count="1">
    <format dxfId="0">
      <pivotArea outline="0" collapsedLevelsAreSubtotals="1" fieldPosition="0"/>
    </format>
  </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488AA8-9747-4DE7-BF21-410374650843}" name="PivotTable10" cacheId="201" applyNumberFormats="0" applyBorderFormats="0" applyFontFormats="0" applyPatternFormats="0" applyAlignmentFormats="0" applyWidthHeightFormats="1" dataCaption="Values" tag="a6efefcf-74bb-4486-84a3-7736979be75b" updatedVersion="8" minRefreshableVersion="3" itemPrintTitles="1" createdVersion="5" indent="0" outline="1" outlineData="1" multipleFieldFilters="0" chartFormat="10">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3">
      <pivotArea outline="0" collapsedLevelsAreSubtotals="1" fieldPosition="0"/>
    </format>
    <format dxfId="2">
      <pivotArea dataOnly="0" labelOnly="1" outline="0" fieldPosition="0">
        <references count="1">
          <reference field="4294967294" count="1">
            <x v="1"/>
          </reference>
        </references>
      </pivotArea>
    </format>
    <format dxfId="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319A87-7125-4D78-9272-FDA7078C3502}" name="PivotTable15" cacheId="195" applyNumberFormats="0" applyBorderFormats="0" applyFontFormats="0" applyPatternFormats="0" applyAlignmentFormats="0" applyWidthHeightFormats="1" dataCaption="Values" tag="a6efefcf-74bb-4486-84a3-7736979be75b" updatedVersion="8" minRefreshableVersion="3" itemPrintTitles="1" createdVersion="5" indent="0" outline="1" outlineData="1" multipleFieldFilters="0">
  <location ref="A30:A3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
      <pivotArea outline="0" collapsedLevelsAreSubtotals="1" fieldPosition="0"/>
    </format>
  </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330CAB-CFB7-460B-AFE8-67E5504F302A}" name="PivotTable14" cacheId="213" applyNumberFormats="0" applyBorderFormats="0" applyFontFormats="0" applyPatternFormats="0" applyAlignmentFormats="0" applyWidthHeightFormats="1" dataCaption="Values" tag="a6efefcf-74bb-4486-84a3-7736979be75b" updatedVersion="8" minRefreshableVersion="3" itemPrintTitles="1" createdVersion="5" indent="0" outline="1" outlineData="1" multipleFieldFilters="0" chartFormat="20">
  <location ref="C67:D7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3">
    <format dxfId="7">
      <pivotArea outline="0" collapsedLevelsAreSubtotals="1" fieldPosition="0"/>
    </format>
    <format dxfId="6">
      <pivotArea collapsedLevelsAreSubtotals="1" fieldPosition="0">
        <references count="1">
          <reference field="2" count="0"/>
        </references>
      </pivotArea>
    </format>
    <format dxfId="5">
      <pivotArea grandRow="1"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A784FA-A21B-4E05-A5A7-9DFD8C2BED79}" name="PivotTable1" cacheId="198" applyNumberFormats="0" applyBorderFormats="0" applyFontFormats="0" applyPatternFormats="0" applyAlignmentFormats="0" applyWidthHeightFormats="1" dataCaption="Values" tag="a6efefcf-74bb-4486-84a3-7736979be75b" updatedVersion="8" minRefreshableVersion="3"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
      <pivotArea outline="0" collapsedLevelsAreSubtotals="1" fieldPosition="0"/>
    </format>
  </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47887A-C6CE-44DF-9F76-96F5CB4577C0}" name="PivotTable8" cacheId="228" applyNumberFormats="0" applyBorderFormats="0" applyFontFormats="0" applyPatternFormats="0" applyAlignmentFormats="0" applyWidthHeightFormats="1" dataCaption="Values" tag="a6efefcf-74bb-4486-84a3-7736979be75b" updatedVersion="8" minRefreshableVersion="3" itemPrintTitles="1" createdVersion="5" indent="0" outline="1" outlineData="1" multipleFieldFilters="0" chartFormat="8">
  <location ref="Q5:R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formats count="1">
    <format dxfId="9">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71B741-A254-4985-A996-55F7B5E50A72}" name="PivotTable13" cacheId="210" applyNumberFormats="0" applyBorderFormats="0" applyFontFormats="0" applyPatternFormats="0" applyAlignmentFormats="0" applyWidthHeightFormats="1" dataCaption="Values" tag="a6efefcf-74bb-4486-84a3-7736979be75b" updatedVersion="8" minRefreshableVersion="3" itemPrintTitles="1" createdVersion="5" indent="0" outline="1" outlineData="1" multipleFieldFilters="0" chartFormat="28">
  <location ref="K58:L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3">
    <format dxfId="12">
      <pivotArea outline="0" collapsedLevelsAreSubtotals="1" fieldPosition="0"/>
    </format>
    <format dxfId="11">
      <pivotArea collapsedLevelsAreSubtotals="1" fieldPosition="0">
        <references count="1">
          <reference field="2" count="0"/>
        </references>
      </pivotArea>
    </format>
    <format dxfId="10">
      <pivotArea grandRow="1" outline="0" collapsedLevelsAreSubtotals="1" fieldPosition="0"/>
    </format>
  </formats>
  <chartFormats count="7">
    <chartFormat chart="1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2" count="1" selected="0">
            <x v="0"/>
          </reference>
        </references>
      </pivotArea>
    </chartFormat>
    <chartFormat chart="25" format="6">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0786AF-3BE6-4B00-B29B-A69B644717D8}" name="PivotTable7" cacheId="225" applyNumberFormats="0" applyBorderFormats="0" applyFontFormats="0" applyPatternFormats="0" applyAlignmentFormats="0" applyWidthHeightFormats="1" dataCaption="Values" tag="a6efefcf-74bb-4486-84a3-7736979be75b" updatedVersion="8" minRefreshableVersion="3" itemPrintTitles="1" createdVersion="5" indent="0" showHeaders="0" outline="1" outlineData="1" multipleFieldFilters="0" chartFormat="10">
  <location ref="L5:M3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0" subtotal="average" baseField="2" baseItem="10" numFmtId="2"/>
  </dataFields>
  <formats count="1">
    <format dxfId="13">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B492CB-33F8-42CE-8956-92909292D9A3}" name="PivotTable6" cacheId="222" applyNumberFormats="0" applyBorderFormats="0" applyFontFormats="0" applyPatternFormats="0" applyAlignmentFormats="0" applyWidthHeightFormats="1" dataCaption="Values" tag="db8b274a-e314-42b4-a354-77d0806b6eb7" updatedVersion="8" minRefreshableVersion="3" subtotalHiddenItems="1" itemPrintTitles="1" createdVersion="5" indent="0" outline="1" outlineData="1" multipleFieldFilters="0" chartFormat="16">
  <location ref="D5:E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14">
      <pivotArea outline="0" collapsedLevelsAreSubtotals="1" fieldPosition="0"/>
    </format>
  </formats>
  <chartFormats count="2">
    <chartFormat chart="10" format="6"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10FFBB-E42D-4EA8-8250-5D695EC28278}" name="PivotTable12" cacheId="207" applyNumberFormats="0" applyBorderFormats="0" applyFontFormats="0" applyPatternFormats="0" applyAlignmentFormats="0" applyWidthHeightFormats="1" dataCaption="Values" tag="a6efefcf-74bb-4486-84a3-7736979be75b" updatedVersion="8" minRefreshableVersion="3" itemPrintTitles="1" createdVersion="5" indent="0" outline="1" outlineData="1" multipleFieldFilters="0" chartFormat="14">
  <location ref="K42:L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17">
      <pivotArea outline="0" collapsedLevelsAreSubtotals="1" fieldPosition="0"/>
    </format>
    <format dxfId="16">
      <pivotArea grandRow="1" outline="0" collapsedLevelsAreSubtotals="1" fieldPosition="0"/>
    </format>
    <format dxfId="15">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caption="Distinct Count of Patient Age"/>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0B5384-59D2-4F58-8F70-37692B000DC5}" name="PivotTable3" cacheId="219" applyNumberFormats="0" applyBorderFormats="0" applyFontFormats="0" applyPatternFormats="0" applyAlignmentFormats="0" applyWidthHeightFormats="1" dataCaption="Values" tag="db8b274a-e314-42b4-a354-77d0806b6eb7"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18">
      <pivotArea outline="0" collapsedLevelsAreSubtotals="1" fieldPosition="0"/>
    </format>
  </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90B047-9FD5-440B-B5BF-972626D6E097}" name="PivotTable11" cacheId="204" applyNumberFormats="0" applyBorderFormats="0" applyFontFormats="0" applyPatternFormats="0" applyAlignmentFormats="0" applyWidthHeightFormats="1" dataCaption="Values" tag="a6efefcf-74bb-4486-84a3-7736979be75b" updatedVersion="8" minRefreshableVersion="3" itemPrintTitles="1" createdVersion="5" indent="0" outline="1" outlineData="1" multipleFieldFilters="0" chartFormat="19">
  <location ref="A52:B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Department Referral" fld="1" subtotal="count" baseField="0" baseItem="0"/>
  </dataFields>
  <formats count="3">
    <format dxfId="21">
      <pivotArea outline="0" collapsedLevelsAreSubtotals="1" fieldPosition="0"/>
    </format>
    <format dxfId="20">
      <pivotArea grandRow="1" outline="0" collapsedLevelsAreSubtotals="1" fieldPosition="0"/>
    </format>
    <format dxfId="19">
      <pivotArea collapsedLevelsAreSubtotals="1" fieldPosition="0">
        <references count="1">
          <reference field="2" count="0"/>
        </references>
      </pivotArea>
    </format>
  </formats>
  <chartFormats count="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7A73FD8-82BC-47C5-AA2F-377346D52564}" sourceName="[Calender_Table].[Date (Month)]">
  <pivotTables>
    <pivotTable tabId="1" name="PivotTable6"/>
    <pivotTable tabId="1" name="PivotTable1"/>
    <pivotTable tabId="1" name="PivotTable2"/>
    <pivotTable tabId="1" name="PivotTable3"/>
    <pivotTable tabId="1" name="PivotTable7"/>
    <pivotTable tabId="1" name="PivotTable8"/>
    <pivotTable tabId="1" name="PivotTable10"/>
    <pivotTable tabId="1" name="PivotTable11"/>
    <pivotTable tabId="1" name="PivotTable12"/>
    <pivotTable tabId="1" name="PivotTable13"/>
    <pivotTable tabId="1" name="PivotTable14"/>
    <pivotTable tabId="1" name="PivotTable15"/>
  </pivotTables>
  <data>
    <olap pivotCacheId="1044364918">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0E8DC82-9914-48BF-8DB7-537C1FF32A98}" sourceName="[Calender_Table].[Date (Year)]">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6"/>
    <pivotTable tabId="1" name="PivotTable7"/>
    <pivotTable tabId="1" name="PivotTable8"/>
  </pivotTables>
  <data>
    <olap pivotCacheId="104436491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AF448875-16F0-4E5E-B217-F0E10A5591E5}" cache="Slicer_Date__Year" caption="Date (Year)"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EB65837-7589-4DC7-96E4-2D788ADEF026}" cache="Slicer_Date__Month" caption="Date (Month)" startItem="1" showCaption="0" level="1" rowHeight="241300"/>
  <slicer name="Date (Year) 1" xr10:uid="{DFBF35A4-3B9A-47CC-AB72-656D7C13DB8D}" cache="Slicer_Date__Year" caption="Date (Year)" showCaption="0"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CB0F9-8839-4A63-ACEE-EE19FDBCEAAC}">
  <dimension ref="A4:R70"/>
  <sheetViews>
    <sheetView topLeftCell="A22" workbookViewId="0">
      <selection activeCell="A30" sqref="A30"/>
    </sheetView>
  </sheetViews>
  <sheetFormatPr defaultRowHeight="15" x14ac:dyDescent="0.25"/>
  <cols>
    <col min="1" max="1" width="30.7109375" bestFit="1" customWidth="1"/>
    <col min="2" max="2" width="11.5703125" customWidth="1"/>
    <col min="3" max="3" width="30.85546875" bestFit="1" customWidth="1"/>
    <col min="4" max="4" width="21.5703125" customWidth="1"/>
    <col min="11" max="12" width="26.85546875" bestFit="1" customWidth="1"/>
    <col min="17" max="17" width="26.85546875" bestFit="1" customWidth="1"/>
  </cols>
  <sheetData>
    <row r="4" spans="1:18" x14ac:dyDescent="0.25">
      <c r="A4" t="s">
        <v>0</v>
      </c>
    </row>
    <row r="5" spans="1:18" x14ac:dyDescent="0.25">
      <c r="A5" t="s">
        <v>2</v>
      </c>
      <c r="D5" s="4" t="s">
        <v>5</v>
      </c>
      <c r="E5" t="s">
        <v>1</v>
      </c>
      <c r="M5" t="s">
        <v>2</v>
      </c>
      <c r="Q5" s="4" t="s">
        <v>5</v>
      </c>
      <c r="R5" t="s">
        <v>3</v>
      </c>
    </row>
    <row r="6" spans="1:18" x14ac:dyDescent="0.25">
      <c r="A6" s="1">
        <v>35.581027667984188</v>
      </c>
      <c r="D6" s="5" t="s">
        <v>6</v>
      </c>
      <c r="E6" s="1">
        <v>26</v>
      </c>
      <c r="L6" s="5" t="s">
        <v>6</v>
      </c>
      <c r="M6" s="1">
        <v>34.884615384615387</v>
      </c>
      <c r="Q6" s="5" t="s">
        <v>6</v>
      </c>
      <c r="R6" s="1">
        <v>24</v>
      </c>
    </row>
    <row r="7" spans="1:18" x14ac:dyDescent="0.25">
      <c r="D7" s="5" t="s">
        <v>7</v>
      </c>
      <c r="E7" s="1">
        <v>17</v>
      </c>
      <c r="J7" s="5"/>
      <c r="K7" s="1"/>
      <c r="L7" s="5" t="s">
        <v>7</v>
      </c>
      <c r="M7" s="1">
        <v>34.941176470588232</v>
      </c>
      <c r="Q7" s="5" t="s">
        <v>7</v>
      </c>
      <c r="R7" s="1">
        <v>32</v>
      </c>
    </row>
    <row r="8" spans="1:18" x14ac:dyDescent="0.25">
      <c r="D8" s="5" t="s">
        <v>8</v>
      </c>
      <c r="E8" s="1">
        <v>19</v>
      </c>
      <c r="J8" s="5"/>
      <c r="K8" s="1"/>
      <c r="L8" s="5" t="s">
        <v>8</v>
      </c>
      <c r="M8" s="1">
        <v>32.736842105263158</v>
      </c>
      <c r="Q8" s="5" t="s">
        <v>8</v>
      </c>
      <c r="R8" s="1">
        <v>20</v>
      </c>
    </row>
    <row r="9" spans="1:18" x14ac:dyDescent="0.25">
      <c r="A9" t="s">
        <v>1</v>
      </c>
      <c r="D9" s="5" t="s">
        <v>9</v>
      </c>
      <c r="E9" s="1">
        <v>17</v>
      </c>
      <c r="J9" s="5"/>
      <c r="K9" s="1"/>
      <c r="L9" s="5" t="s">
        <v>9</v>
      </c>
      <c r="M9" s="1">
        <v>34.411764705882355</v>
      </c>
      <c r="Q9" s="5" t="s">
        <v>9</v>
      </c>
      <c r="R9" s="1">
        <v>41</v>
      </c>
    </row>
    <row r="10" spans="1:18" x14ac:dyDescent="0.25">
      <c r="A10" s="1">
        <v>506</v>
      </c>
      <c r="D10" s="5" t="s">
        <v>10</v>
      </c>
      <c r="E10" s="1">
        <v>18</v>
      </c>
      <c r="J10" s="5"/>
      <c r="K10" s="1"/>
      <c r="L10" s="5" t="s">
        <v>10</v>
      </c>
      <c r="M10" s="1">
        <v>34.388888888888886</v>
      </c>
      <c r="Q10" s="5" t="s">
        <v>10</v>
      </c>
      <c r="R10" s="1">
        <v>26</v>
      </c>
    </row>
    <row r="11" spans="1:18" x14ac:dyDescent="0.25">
      <c r="D11" s="5" t="s">
        <v>11</v>
      </c>
      <c r="E11" s="1">
        <v>17</v>
      </c>
      <c r="J11" s="5"/>
      <c r="K11" s="1"/>
      <c r="L11" s="5" t="s">
        <v>11</v>
      </c>
      <c r="M11" s="1">
        <v>33.294117647058826</v>
      </c>
      <c r="Q11" s="5" t="s">
        <v>11</v>
      </c>
      <c r="R11" s="1">
        <v>22</v>
      </c>
    </row>
    <row r="12" spans="1:18" x14ac:dyDescent="0.25">
      <c r="D12" s="5" t="s">
        <v>12</v>
      </c>
      <c r="E12" s="1">
        <v>17</v>
      </c>
      <c r="L12" s="5" t="s">
        <v>12</v>
      </c>
      <c r="M12" s="1">
        <v>35</v>
      </c>
      <c r="Q12" s="5" t="s">
        <v>12</v>
      </c>
      <c r="R12" s="1">
        <v>21</v>
      </c>
    </row>
    <row r="13" spans="1:18" x14ac:dyDescent="0.25">
      <c r="A13" t="s">
        <v>3</v>
      </c>
      <c r="D13" s="5" t="s">
        <v>13</v>
      </c>
      <c r="E13" s="1">
        <v>19</v>
      </c>
      <c r="L13" s="5" t="s">
        <v>13</v>
      </c>
      <c r="M13" s="1">
        <v>36.736842105263158</v>
      </c>
      <c r="Q13" s="5" t="s">
        <v>13</v>
      </c>
      <c r="R13" s="1">
        <v>19</v>
      </c>
    </row>
    <row r="14" spans="1:18" x14ac:dyDescent="0.25">
      <c r="A14" s="1">
        <v>741</v>
      </c>
      <c r="D14" s="5" t="s">
        <v>14</v>
      </c>
      <c r="E14" s="1">
        <v>19</v>
      </c>
      <c r="L14" s="5" t="s">
        <v>14</v>
      </c>
      <c r="M14" s="1">
        <v>37.368421052631582</v>
      </c>
      <c r="Q14" s="5" t="s">
        <v>14</v>
      </c>
      <c r="R14" s="1">
        <v>40</v>
      </c>
    </row>
    <row r="15" spans="1:18" x14ac:dyDescent="0.25">
      <c r="D15" s="5" t="s">
        <v>15</v>
      </c>
      <c r="E15" s="1">
        <v>14</v>
      </c>
      <c r="L15" s="5" t="s">
        <v>15</v>
      </c>
      <c r="M15" s="1">
        <v>31.428571428571427</v>
      </c>
      <c r="Q15" s="5" t="s">
        <v>15</v>
      </c>
      <c r="R15" s="1">
        <v>15</v>
      </c>
    </row>
    <row r="16" spans="1:18" x14ac:dyDescent="0.25">
      <c r="D16" s="5" t="s">
        <v>16</v>
      </c>
      <c r="E16" s="1">
        <v>17</v>
      </c>
      <c r="L16" s="5" t="s">
        <v>16</v>
      </c>
      <c r="M16" s="1">
        <v>45.470588235294116</v>
      </c>
      <c r="Q16" s="5" t="s">
        <v>16</v>
      </c>
      <c r="R16" s="1">
        <v>37</v>
      </c>
    </row>
    <row r="17" spans="1:18" x14ac:dyDescent="0.25">
      <c r="D17" s="5" t="s">
        <v>17</v>
      </c>
      <c r="E17" s="1">
        <v>20</v>
      </c>
      <c r="L17" s="5" t="s">
        <v>17</v>
      </c>
      <c r="M17" s="1">
        <v>32.549999999999997</v>
      </c>
      <c r="Q17" s="5" t="s">
        <v>17</v>
      </c>
      <c r="R17" s="1">
        <v>9</v>
      </c>
    </row>
    <row r="18" spans="1:18" x14ac:dyDescent="0.25">
      <c r="D18" s="5" t="s">
        <v>18</v>
      </c>
      <c r="E18" s="1">
        <v>13</v>
      </c>
      <c r="L18" s="5" t="s">
        <v>18</v>
      </c>
      <c r="M18" s="1">
        <v>39.615384615384613</v>
      </c>
      <c r="Q18" s="5" t="s">
        <v>18</v>
      </c>
      <c r="R18" s="1">
        <v>18</v>
      </c>
    </row>
    <row r="19" spans="1:18" x14ac:dyDescent="0.25">
      <c r="D19" s="5" t="s">
        <v>19</v>
      </c>
      <c r="E19" s="1">
        <v>14</v>
      </c>
      <c r="L19" s="5" t="s">
        <v>19</v>
      </c>
      <c r="M19" s="1">
        <v>36</v>
      </c>
      <c r="Q19" s="5" t="s">
        <v>19</v>
      </c>
      <c r="R19" s="1">
        <v>28</v>
      </c>
    </row>
    <row r="20" spans="1:18" x14ac:dyDescent="0.25">
      <c r="D20" s="5" t="s">
        <v>20</v>
      </c>
      <c r="E20" s="1">
        <v>15</v>
      </c>
      <c r="L20" s="5" t="s">
        <v>20</v>
      </c>
      <c r="M20" s="1">
        <v>31.6</v>
      </c>
      <c r="Q20" s="5" t="s">
        <v>20</v>
      </c>
      <c r="R20" s="1">
        <v>9</v>
      </c>
    </row>
    <row r="21" spans="1:18" x14ac:dyDescent="0.25">
      <c r="D21" s="5" t="s">
        <v>21</v>
      </c>
      <c r="E21" s="1">
        <v>13</v>
      </c>
      <c r="L21" s="5" t="s">
        <v>21</v>
      </c>
      <c r="M21" s="1">
        <v>33.846153846153847</v>
      </c>
      <c r="Q21" s="5" t="s">
        <v>21</v>
      </c>
      <c r="R21" s="1">
        <v>3</v>
      </c>
    </row>
    <row r="22" spans="1:18" x14ac:dyDescent="0.25">
      <c r="D22" s="5" t="s">
        <v>22</v>
      </c>
      <c r="E22" s="1">
        <v>15</v>
      </c>
      <c r="L22" s="5" t="s">
        <v>22</v>
      </c>
      <c r="M22" s="1">
        <v>31.8</v>
      </c>
      <c r="Q22" s="5" t="s">
        <v>22</v>
      </c>
      <c r="R22" s="1">
        <v>34</v>
      </c>
    </row>
    <row r="23" spans="1:18" x14ac:dyDescent="0.25">
      <c r="D23" s="5" t="s">
        <v>23</v>
      </c>
      <c r="E23" s="1">
        <v>17</v>
      </c>
      <c r="L23" s="5" t="s">
        <v>23</v>
      </c>
      <c r="M23" s="1">
        <v>36</v>
      </c>
      <c r="Q23" s="5" t="s">
        <v>23</v>
      </c>
      <c r="R23" s="1">
        <v>37</v>
      </c>
    </row>
    <row r="24" spans="1:18" x14ac:dyDescent="0.25">
      <c r="D24" s="5" t="s">
        <v>24</v>
      </c>
      <c r="E24" s="1">
        <v>10</v>
      </c>
      <c r="L24" s="5" t="s">
        <v>24</v>
      </c>
      <c r="M24" s="1">
        <v>29.8</v>
      </c>
      <c r="Q24" s="5" t="s">
        <v>24</v>
      </c>
      <c r="R24" s="1">
        <v>13</v>
      </c>
    </row>
    <row r="25" spans="1:18" x14ac:dyDescent="0.25">
      <c r="D25" s="5" t="s">
        <v>25</v>
      </c>
      <c r="E25" s="1">
        <v>13</v>
      </c>
      <c r="L25" s="5" t="s">
        <v>25</v>
      </c>
      <c r="M25" s="1">
        <v>41.307692307692307</v>
      </c>
      <c r="Q25" s="5" t="s">
        <v>25</v>
      </c>
      <c r="R25" s="1">
        <v>4</v>
      </c>
    </row>
    <row r="26" spans="1:18" x14ac:dyDescent="0.25">
      <c r="D26" s="5" t="s">
        <v>26</v>
      </c>
      <c r="E26" s="1">
        <v>17</v>
      </c>
      <c r="L26" s="5" t="s">
        <v>26</v>
      </c>
      <c r="M26" s="1">
        <v>29.764705882352942</v>
      </c>
      <c r="Q26" s="5" t="s">
        <v>26</v>
      </c>
      <c r="R26" s="1">
        <v>15</v>
      </c>
    </row>
    <row r="27" spans="1:18" x14ac:dyDescent="0.25">
      <c r="D27" s="5" t="s">
        <v>27</v>
      </c>
      <c r="E27" s="1">
        <v>26</v>
      </c>
      <c r="L27" s="5" t="s">
        <v>27</v>
      </c>
      <c r="M27" s="1">
        <v>37.92307692307692</v>
      </c>
      <c r="Q27" s="5" t="s">
        <v>27</v>
      </c>
      <c r="R27" s="1">
        <v>19</v>
      </c>
    </row>
    <row r="28" spans="1:18" x14ac:dyDescent="0.25">
      <c r="D28" s="5" t="s">
        <v>28</v>
      </c>
      <c r="E28" s="1">
        <v>8</v>
      </c>
      <c r="L28" s="5" t="s">
        <v>28</v>
      </c>
      <c r="M28" s="1">
        <v>38.625</v>
      </c>
      <c r="Q28" s="5" t="s">
        <v>28</v>
      </c>
      <c r="R28" s="1">
        <v>15</v>
      </c>
    </row>
    <row r="29" spans="1:18" x14ac:dyDescent="0.25">
      <c r="D29" s="5" t="s">
        <v>29</v>
      </c>
      <c r="E29" s="1">
        <v>17</v>
      </c>
      <c r="L29" s="5" t="s">
        <v>29</v>
      </c>
      <c r="M29" s="1">
        <v>41.470588235294116</v>
      </c>
      <c r="Q29" s="5" t="s">
        <v>29</v>
      </c>
      <c r="R29" s="1">
        <v>21</v>
      </c>
    </row>
    <row r="30" spans="1:18" x14ac:dyDescent="0.25">
      <c r="A30" s="4" t="s">
        <v>5</v>
      </c>
      <c r="D30" s="5" t="s">
        <v>30</v>
      </c>
      <c r="E30" s="1">
        <v>18</v>
      </c>
      <c r="L30" s="5" t="s">
        <v>30</v>
      </c>
      <c r="M30" s="1">
        <v>39.5</v>
      </c>
      <c r="Q30" s="5" t="s">
        <v>30</v>
      </c>
      <c r="R30" s="1">
        <v>37</v>
      </c>
    </row>
    <row r="31" spans="1:18" x14ac:dyDescent="0.25">
      <c r="A31" s="5" t="s">
        <v>67</v>
      </c>
      <c r="D31" s="5" t="s">
        <v>31</v>
      </c>
      <c r="E31" s="1">
        <v>19</v>
      </c>
      <c r="L31" s="5" t="s">
        <v>31</v>
      </c>
      <c r="M31" s="1">
        <v>29.736842105263158</v>
      </c>
      <c r="Q31" s="5" t="s">
        <v>31</v>
      </c>
      <c r="R31" s="1">
        <v>29</v>
      </c>
    </row>
    <row r="32" spans="1:18" x14ac:dyDescent="0.25">
      <c r="A32" s="5" t="s">
        <v>4</v>
      </c>
      <c r="D32" s="5" t="s">
        <v>32</v>
      </c>
      <c r="E32" s="1">
        <v>20</v>
      </c>
      <c r="L32" s="5" t="s">
        <v>32</v>
      </c>
      <c r="M32" s="1">
        <v>37.75</v>
      </c>
      <c r="Q32" s="5" t="s">
        <v>32</v>
      </c>
      <c r="R32" s="1">
        <v>49</v>
      </c>
    </row>
    <row r="33" spans="1:18" x14ac:dyDescent="0.25">
      <c r="D33" s="5" t="s">
        <v>33</v>
      </c>
      <c r="E33" s="1">
        <v>23</v>
      </c>
      <c r="L33" s="5" t="s">
        <v>33</v>
      </c>
      <c r="M33" s="1">
        <v>37.782608695652172</v>
      </c>
      <c r="Q33" s="5" t="s">
        <v>33</v>
      </c>
      <c r="R33" s="1">
        <v>50</v>
      </c>
    </row>
    <row r="34" spans="1:18" x14ac:dyDescent="0.25">
      <c r="D34" s="5" t="s">
        <v>34</v>
      </c>
      <c r="E34" s="1">
        <v>16</v>
      </c>
      <c r="L34" s="5" t="s">
        <v>34</v>
      </c>
      <c r="M34" s="1">
        <v>34.1875</v>
      </c>
      <c r="Q34" s="5" t="s">
        <v>34</v>
      </c>
      <c r="R34" s="1">
        <v>38</v>
      </c>
    </row>
    <row r="35" spans="1:18" x14ac:dyDescent="0.25">
      <c r="D35" s="5" t="s">
        <v>35</v>
      </c>
      <c r="E35" s="1">
        <v>12</v>
      </c>
      <c r="L35" s="5" t="s">
        <v>35</v>
      </c>
      <c r="M35" s="1">
        <v>36.166666666666664</v>
      </c>
      <c r="Q35" s="5" t="s">
        <v>35</v>
      </c>
      <c r="R35" s="1">
        <v>16</v>
      </c>
    </row>
    <row r="36" spans="1:18" x14ac:dyDescent="0.25">
      <c r="D36" s="5" t="s">
        <v>4</v>
      </c>
      <c r="E36" s="1">
        <v>506</v>
      </c>
      <c r="L36" s="5" t="s">
        <v>4</v>
      </c>
      <c r="M36" s="1">
        <v>35.581027667984188</v>
      </c>
      <c r="Q36" s="5" t="s">
        <v>4</v>
      </c>
      <c r="R36" s="1">
        <v>741</v>
      </c>
    </row>
    <row r="41" spans="1:18" x14ac:dyDescent="0.25">
      <c r="A41" s="4" t="s">
        <v>5</v>
      </c>
      <c r="B41" t="s">
        <v>36</v>
      </c>
      <c r="C41" s="6" t="s">
        <v>39</v>
      </c>
    </row>
    <row r="42" spans="1:18" x14ac:dyDescent="0.25">
      <c r="A42" s="5" t="s">
        <v>37</v>
      </c>
      <c r="B42" s="1">
        <v>252</v>
      </c>
      <c r="C42" s="7">
        <v>0.49802371541501977</v>
      </c>
      <c r="K42" s="4" t="s">
        <v>5</v>
      </c>
      <c r="L42" t="s">
        <v>51</v>
      </c>
    </row>
    <row r="43" spans="1:18" x14ac:dyDescent="0.25">
      <c r="A43" s="5" t="s">
        <v>38</v>
      </c>
      <c r="B43" s="1">
        <v>254</v>
      </c>
      <c r="C43" s="7">
        <v>0.50197628458498023</v>
      </c>
      <c r="K43" s="5" t="s">
        <v>43</v>
      </c>
      <c r="L43" s="11">
        <v>54</v>
      </c>
    </row>
    <row r="44" spans="1:18" x14ac:dyDescent="0.25">
      <c r="A44" s="5" t="s">
        <v>4</v>
      </c>
      <c r="B44" s="1">
        <v>506</v>
      </c>
      <c r="C44" s="7">
        <v>1</v>
      </c>
      <c r="K44" s="5" t="s">
        <v>44</v>
      </c>
      <c r="L44" s="11">
        <v>72</v>
      </c>
    </row>
    <row r="45" spans="1:18" x14ac:dyDescent="0.25">
      <c r="K45" s="5" t="s">
        <v>45</v>
      </c>
      <c r="L45" s="11">
        <v>75</v>
      </c>
    </row>
    <row r="46" spans="1:18" x14ac:dyDescent="0.25">
      <c r="K46" s="5" t="s">
        <v>46</v>
      </c>
      <c r="L46" s="11">
        <v>62</v>
      </c>
    </row>
    <row r="47" spans="1:18" x14ac:dyDescent="0.25">
      <c r="A47" s="9" t="s">
        <v>40</v>
      </c>
      <c r="B47" s="10" t="s">
        <v>42</v>
      </c>
      <c r="C47" s="10" t="s">
        <v>41</v>
      </c>
      <c r="D47" s="8"/>
      <c r="K47" s="5" t="s">
        <v>47</v>
      </c>
      <c r="L47" s="11">
        <v>63</v>
      </c>
    </row>
    <row r="48" spans="1:18" x14ac:dyDescent="0.25">
      <c r="A48" t="str">
        <f>A42</f>
        <v>admitted</v>
      </c>
      <c r="B48" s="1">
        <f>B42</f>
        <v>252</v>
      </c>
      <c r="C48" s="7">
        <f t="shared" ref="C48:C49" si="0">C42</f>
        <v>0.49802371541501977</v>
      </c>
      <c r="K48" s="5" t="s">
        <v>48</v>
      </c>
      <c r="L48" s="11">
        <v>49</v>
      </c>
    </row>
    <row r="49" spans="1:12" x14ac:dyDescent="0.25">
      <c r="A49" t="str">
        <f>A43</f>
        <v>not admitted</v>
      </c>
      <c r="B49" s="1">
        <f>B43</f>
        <v>254</v>
      </c>
      <c r="C49" s="7">
        <f t="shared" si="0"/>
        <v>0.50197628458498023</v>
      </c>
      <c r="K49" s="5" t="s">
        <v>49</v>
      </c>
      <c r="L49" s="11">
        <v>74</v>
      </c>
    </row>
    <row r="50" spans="1:12" x14ac:dyDescent="0.25">
      <c r="K50" s="5" t="s">
        <v>50</v>
      </c>
      <c r="L50" s="11">
        <v>57</v>
      </c>
    </row>
    <row r="51" spans="1:12" x14ac:dyDescent="0.25">
      <c r="K51" s="5" t="s">
        <v>4</v>
      </c>
      <c r="L51" s="11">
        <v>506</v>
      </c>
    </row>
    <row r="52" spans="1:12" x14ac:dyDescent="0.25">
      <c r="A52" s="4" t="s">
        <v>5</v>
      </c>
      <c r="B52" t="s">
        <v>52</v>
      </c>
    </row>
    <row r="53" spans="1:12" x14ac:dyDescent="0.25">
      <c r="A53" s="5" t="s">
        <v>53</v>
      </c>
      <c r="B53" s="11">
        <v>12</v>
      </c>
    </row>
    <row r="54" spans="1:12" x14ac:dyDescent="0.25">
      <c r="A54" s="5" t="s">
        <v>54</v>
      </c>
      <c r="B54" s="11">
        <v>11</v>
      </c>
    </row>
    <row r="55" spans="1:12" x14ac:dyDescent="0.25">
      <c r="A55" s="5" t="s">
        <v>55</v>
      </c>
      <c r="B55" s="11">
        <v>83</v>
      </c>
    </row>
    <row r="56" spans="1:12" x14ac:dyDescent="0.25">
      <c r="A56" s="5" t="s">
        <v>56</v>
      </c>
      <c r="B56" s="11">
        <v>15</v>
      </c>
    </row>
    <row r="57" spans="1:12" x14ac:dyDescent="0.25">
      <c r="A57" s="5" t="s">
        <v>57</v>
      </c>
      <c r="B57" s="11">
        <v>305</v>
      </c>
    </row>
    <row r="58" spans="1:12" x14ac:dyDescent="0.25">
      <c r="A58" s="5" t="s">
        <v>58</v>
      </c>
      <c r="B58" s="11">
        <v>60</v>
      </c>
      <c r="K58" s="4" t="s">
        <v>5</v>
      </c>
      <c r="L58" t="s">
        <v>65</v>
      </c>
    </row>
    <row r="59" spans="1:12" x14ac:dyDescent="0.25">
      <c r="A59" s="5" t="s">
        <v>59</v>
      </c>
      <c r="B59" s="11">
        <v>18</v>
      </c>
      <c r="K59" s="5" t="s">
        <v>62</v>
      </c>
      <c r="L59" s="11">
        <v>311</v>
      </c>
    </row>
    <row r="60" spans="1:12" x14ac:dyDescent="0.25">
      <c r="A60" s="5" t="s">
        <v>60</v>
      </c>
      <c r="B60" s="11">
        <v>2</v>
      </c>
      <c r="K60" s="5" t="s">
        <v>64</v>
      </c>
      <c r="L60" s="11">
        <v>195</v>
      </c>
    </row>
    <row r="61" spans="1:12" x14ac:dyDescent="0.25">
      <c r="A61" s="5" t="s">
        <v>4</v>
      </c>
      <c r="B61" s="11">
        <v>506</v>
      </c>
      <c r="K61" s="5" t="s">
        <v>4</v>
      </c>
      <c r="L61" s="11">
        <v>506</v>
      </c>
    </row>
    <row r="63" spans="1:12" x14ac:dyDescent="0.25">
      <c r="J63" s="3"/>
      <c r="K63" s="3"/>
    </row>
    <row r="64" spans="1:12" x14ac:dyDescent="0.25">
      <c r="J64" s="5"/>
      <c r="K64" s="11"/>
    </row>
    <row r="65" spans="3:11" x14ac:dyDescent="0.25">
      <c r="J65" s="5"/>
      <c r="K65" s="11"/>
    </row>
    <row r="67" spans="3:11" x14ac:dyDescent="0.25">
      <c r="C67" s="4" t="s">
        <v>5</v>
      </c>
      <c r="D67" t="s">
        <v>66</v>
      </c>
    </row>
    <row r="68" spans="3:11" x14ac:dyDescent="0.25">
      <c r="C68" s="5" t="s">
        <v>63</v>
      </c>
      <c r="D68" s="11">
        <v>233</v>
      </c>
    </row>
    <row r="69" spans="3:11" x14ac:dyDescent="0.25">
      <c r="C69" s="5" t="s">
        <v>61</v>
      </c>
      <c r="D69" s="11">
        <v>273</v>
      </c>
    </row>
    <row r="70" spans="3:11" x14ac:dyDescent="0.25">
      <c r="C70" s="5" t="s">
        <v>4</v>
      </c>
      <c r="D70" s="11">
        <v>506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F42F-DABD-465A-A958-9C62D7FF5CF2}">
  <dimension ref="A1"/>
  <sheetViews>
    <sheetView showGridLines="0" tabSelected="1" zoomScale="65" workbookViewId="0">
      <selection activeCell="V19" sqref="V19"/>
    </sheetView>
  </sheetViews>
  <sheetFormatPr defaultRowHeight="15" x14ac:dyDescent="0.25"/>
  <cols>
    <col min="1" max="16384" width="9.1406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6C5B-08BE-4438-9B00-3ABCDCE26B2D}">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E3779-18B0-43CD-865C-721FC365CB24}">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50B9-0F69-4B1A-9867-74E2E462F04A}">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E0F04DE-8FD2-4117-AD90-71463D5E5648}">
  <ds:schemaRefs/>
</ds:datastoreItem>
</file>

<file path=customXml/itemProps2.xml><?xml version="1.0" encoding="utf-8"?>
<ds:datastoreItem xmlns:ds="http://schemas.openxmlformats.org/officeDocument/2006/customXml" ds:itemID="{4686BBAD-F4FC-4E3C-B6F6-89182E9F4DF9}">
  <ds:schemaRefs/>
</ds:datastoreItem>
</file>

<file path=customXml/itemProps3.xml><?xml version="1.0" encoding="utf-8"?>
<ds:datastoreItem xmlns:ds="http://schemas.openxmlformats.org/officeDocument/2006/customXml" ds:itemID="{78BD2491-0784-41FF-B2FA-45733CDA0115}">
  <ds:schemaRefs/>
</ds:datastoreItem>
</file>

<file path=customXml/itemProps4.xml><?xml version="1.0" encoding="utf-8"?>
<ds:datastoreItem xmlns:ds="http://schemas.openxmlformats.org/officeDocument/2006/customXml" ds:itemID="{4F753BC7-B8BE-4A80-A30B-57E5BE7BE6BD}">
  <ds:schemaRefs/>
</ds:datastoreItem>
</file>

<file path=customXml/itemProps5.xml><?xml version="1.0" encoding="utf-8"?>
<ds:datastoreItem xmlns:ds="http://schemas.openxmlformats.org/officeDocument/2006/customXml" ds:itemID="{96EEFB15-F586-4EE2-A39F-6E19D9810D0A}">
  <ds:schemaRefs/>
</ds:datastoreItem>
</file>

<file path=customXml/itemProps6.xml><?xml version="1.0" encoding="utf-8"?>
<ds:datastoreItem xmlns:ds="http://schemas.openxmlformats.org/officeDocument/2006/customXml" ds:itemID="{0499FFD7-3E1E-4F1B-BD72-C5CF306F6407}">
  <ds:schemaRefs/>
</ds:datastoreItem>
</file>

<file path=customXml/itemProps7.xml><?xml version="1.0" encoding="utf-8"?>
<ds:datastoreItem xmlns:ds="http://schemas.openxmlformats.org/officeDocument/2006/customXml" ds:itemID="{D0F895BB-3504-4BD9-A689-E935A6B17296}">
  <ds:schemaRefs/>
</ds:datastoreItem>
</file>

<file path=customXml/itemProps8.xml><?xml version="1.0" encoding="utf-8"?>
<ds:datastoreItem xmlns:ds="http://schemas.openxmlformats.org/officeDocument/2006/customXml" ds:itemID="{D7D4B875-15E3-4F6C-AE1A-FEF57FB412BF}">
  <ds:schemaRefs/>
</ds:datastoreItem>
</file>

<file path=customXml/itemProps9.xml><?xml version="1.0" encoding="utf-8"?>
<ds:datastoreItem xmlns:ds="http://schemas.openxmlformats.org/officeDocument/2006/customXml" ds:itemID="{9676B5C9-FEBA-4B79-AB96-2BC1964039B7}">
  <ds:schemaRefs/>
</ds:datastoreItem>
</file>

<file path=customXml/itemProps10.xml><?xml version="1.0" encoding="utf-8"?>
<ds:datastoreItem xmlns:ds="http://schemas.openxmlformats.org/officeDocument/2006/customXml" ds:itemID="{C2850991-DD74-49B0-B188-631CF1DA16A5}">
  <ds:schemaRefs>
    <ds:schemaRef ds:uri="http://schemas.microsoft.com/DataMashup"/>
  </ds:schemaRefs>
</ds:datastoreItem>
</file>

<file path=customXml/itemProps11.xml><?xml version="1.0" encoding="utf-8"?>
<ds:datastoreItem xmlns:ds="http://schemas.openxmlformats.org/officeDocument/2006/customXml" ds:itemID="{E08D1A06-CCB5-4A49-8D06-67958E6AEEDC}">
  <ds:schemaRefs/>
</ds:datastoreItem>
</file>

<file path=customXml/itemProps12.xml><?xml version="1.0" encoding="utf-8"?>
<ds:datastoreItem xmlns:ds="http://schemas.openxmlformats.org/officeDocument/2006/customXml" ds:itemID="{56725B62-4365-48D6-A666-78A6D90A430D}">
  <ds:schemaRefs/>
</ds:datastoreItem>
</file>

<file path=customXml/itemProps13.xml><?xml version="1.0" encoding="utf-8"?>
<ds:datastoreItem xmlns:ds="http://schemas.openxmlformats.org/officeDocument/2006/customXml" ds:itemID="{4B408E80-C150-409D-9D00-26E48B510125}">
  <ds:schemaRefs/>
</ds:datastoreItem>
</file>

<file path=customXml/itemProps14.xml><?xml version="1.0" encoding="utf-8"?>
<ds:datastoreItem xmlns:ds="http://schemas.openxmlformats.org/officeDocument/2006/customXml" ds:itemID="{81709AE5-275C-4994-888D-D9368557A1CA}">
  <ds:schemaRefs/>
</ds:datastoreItem>
</file>

<file path=customXml/itemProps15.xml><?xml version="1.0" encoding="utf-8"?>
<ds:datastoreItem xmlns:ds="http://schemas.openxmlformats.org/officeDocument/2006/customXml" ds:itemID="{D8A47308-8A53-4856-A8B1-1F1376B11642}">
  <ds:schemaRefs/>
</ds:datastoreItem>
</file>

<file path=customXml/itemProps16.xml><?xml version="1.0" encoding="utf-8"?>
<ds:datastoreItem xmlns:ds="http://schemas.openxmlformats.org/officeDocument/2006/customXml" ds:itemID="{642D2D03-17F2-42E2-9C94-C7954D08D51D}">
  <ds:schemaRefs/>
</ds:datastoreItem>
</file>

<file path=customXml/itemProps17.xml><?xml version="1.0" encoding="utf-8"?>
<ds:datastoreItem xmlns:ds="http://schemas.openxmlformats.org/officeDocument/2006/customXml" ds:itemID="{3748539F-80C4-48E2-B244-116C032E4891}">
  <ds:schemaRefs/>
</ds:datastoreItem>
</file>

<file path=customXml/itemProps18.xml><?xml version="1.0" encoding="utf-8"?>
<ds:datastoreItem xmlns:ds="http://schemas.openxmlformats.org/officeDocument/2006/customXml" ds:itemID="{E72594A1-3A33-4CAD-BA4D-8BE4372A33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patient satisfaction ER</vt:lpstr>
      <vt:lpstr>Sheet2</vt:lpstr>
      <vt:lpstr>trend emergency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Amrita Jain</dc:creator>
  <cp:lastModifiedBy>Amrita Jain</cp:lastModifiedBy>
  <dcterms:created xsi:type="dcterms:W3CDTF">2026-06-17T08:28:14Z</dcterms:created>
  <dcterms:modified xsi:type="dcterms:W3CDTF">2026-06-22T09:54:52Z</dcterms:modified>
</cp:coreProperties>
</file>